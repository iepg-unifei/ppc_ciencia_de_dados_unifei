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dev\ppc_ciencia_dados\"/>
    </mc:Choice>
  </mc:AlternateContent>
  <xr:revisionPtr revIDLastSave="0" documentId="13_ncr:1_{3D9ABA26-0ABD-4567-AB07-88DE8DD62BA6}" xr6:coauthVersionLast="47" xr6:coauthVersionMax="47" xr10:uidLastSave="{00000000-0000-0000-0000-000000000000}"/>
  <bookViews>
    <workbookView xWindow="-120" yWindow="-120" windowWidth="29040" windowHeight="15720" xr2:uid="{8C432809-743E-4B32-AEF8-DEEA931E46A8}"/>
  </bookViews>
  <sheets>
    <sheet name="Grade Curricular Original" sheetId="1" r:id="rId1"/>
    <sheet name="Alteração Proposta" sheetId="3" r:id="rId2"/>
    <sheet name="Optativas das Trilhas" sheetId="4" r:id="rId3"/>
    <sheet name="Disciplinas da Trilha" sheetId="5" r:id="rId4"/>
    <sheet name="Disciplinas Aplicadas" sheetId="6" r:id="rId5"/>
    <sheet name="Disciplinas Técnica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2" i="7" l="1"/>
  <c r="U29" i="7"/>
  <c r="K27" i="7"/>
  <c r="R25" i="7"/>
  <c r="T20" i="7"/>
  <c r="L20" i="7"/>
  <c r="J20" i="7"/>
  <c r="H20" i="7"/>
  <c r="F20" i="7"/>
  <c r="D20" i="7"/>
  <c r="B20" i="7"/>
  <c r="T19" i="7"/>
  <c r="L19" i="7"/>
  <c r="J19" i="7"/>
  <c r="H19" i="7"/>
  <c r="F19" i="7"/>
  <c r="D19" i="7"/>
  <c r="B19" i="7"/>
  <c r="S18" i="7"/>
  <c r="T18" i="7" s="1"/>
  <c r="N18" i="7"/>
  <c r="L18" i="7"/>
  <c r="L22" i="7" s="1"/>
  <c r="J18" i="7"/>
  <c r="H18" i="7"/>
  <c r="F18" i="7"/>
  <c r="D18" i="7"/>
  <c r="B18" i="7"/>
  <c r="T17" i="7"/>
  <c r="N17" i="7"/>
  <c r="L17" i="7"/>
  <c r="J17" i="7"/>
  <c r="H17" i="7"/>
  <c r="F17" i="7"/>
  <c r="D17" i="7"/>
  <c r="B17" i="7"/>
  <c r="S16" i="7"/>
  <c r="T16" i="7" s="1"/>
  <c r="N16" i="7"/>
  <c r="L16" i="7"/>
  <c r="J16" i="7"/>
  <c r="H16" i="7"/>
  <c r="F16" i="7"/>
  <c r="D16" i="7"/>
  <c r="B16" i="7"/>
  <c r="N15" i="7"/>
  <c r="L15" i="7"/>
  <c r="J15" i="7"/>
  <c r="H15" i="7"/>
  <c r="F15" i="7"/>
  <c r="D15" i="7"/>
  <c r="B15" i="7"/>
  <c r="N14" i="7"/>
  <c r="L14" i="7"/>
  <c r="J14" i="7"/>
  <c r="H14" i="7"/>
  <c r="F14" i="7"/>
  <c r="F22" i="7" s="1"/>
  <c r="D14" i="7"/>
  <c r="D22" i="7" s="1"/>
  <c r="B14" i="7"/>
  <c r="B22" i="7" s="1"/>
  <c r="N13" i="7"/>
  <c r="N22" i="7" s="1"/>
  <c r="S14" i="7" s="1"/>
  <c r="T14" i="7" s="1"/>
  <c r="L13" i="7"/>
  <c r="J13" i="7"/>
  <c r="J22" i="7" s="1"/>
  <c r="H13" i="7"/>
  <c r="H22" i="7" s="1"/>
  <c r="F13" i="7"/>
  <c r="D13" i="7"/>
  <c r="B13" i="7"/>
  <c r="N11" i="7"/>
  <c r="L11" i="7"/>
  <c r="J11" i="7"/>
  <c r="H11" i="7"/>
  <c r="F11" i="7"/>
  <c r="D11" i="7"/>
  <c r="B11" i="7"/>
  <c r="T7" i="7"/>
  <c r="S7" i="7"/>
  <c r="S6" i="7"/>
  <c r="S5" i="7"/>
  <c r="S32" i="6"/>
  <c r="U29" i="6"/>
  <c r="K27" i="6"/>
  <c r="R25" i="6"/>
  <c r="T20" i="6"/>
  <c r="L20" i="6"/>
  <c r="J20" i="6"/>
  <c r="H20" i="6"/>
  <c r="F20" i="6"/>
  <c r="D20" i="6"/>
  <c r="B20" i="6"/>
  <c r="T19" i="6"/>
  <c r="L19" i="6"/>
  <c r="J19" i="6"/>
  <c r="H19" i="6"/>
  <c r="F19" i="6"/>
  <c r="D19" i="6"/>
  <c r="B19" i="6"/>
  <c r="S18" i="6"/>
  <c r="T18" i="6" s="1"/>
  <c r="N18" i="6"/>
  <c r="L18" i="6"/>
  <c r="J18" i="6"/>
  <c r="H18" i="6"/>
  <c r="F18" i="6"/>
  <c r="D18" i="6"/>
  <c r="B18" i="6"/>
  <c r="T17" i="6"/>
  <c r="N17" i="6"/>
  <c r="L17" i="6"/>
  <c r="J17" i="6"/>
  <c r="H17" i="6"/>
  <c r="F17" i="6"/>
  <c r="D17" i="6"/>
  <c r="B17" i="6"/>
  <c r="S16" i="6"/>
  <c r="T16" i="6" s="1"/>
  <c r="N16" i="6"/>
  <c r="L16" i="6"/>
  <c r="J16" i="6"/>
  <c r="H16" i="6"/>
  <c r="F16" i="6"/>
  <c r="D16" i="6"/>
  <c r="B16" i="6"/>
  <c r="N15" i="6"/>
  <c r="L15" i="6"/>
  <c r="J15" i="6"/>
  <c r="H15" i="6"/>
  <c r="F15" i="6"/>
  <c r="D15" i="6"/>
  <c r="B15" i="6"/>
  <c r="N14" i="6"/>
  <c r="N22" i="6" s="1"/>
  <c r="S14" i="6" s="1"/>
  <c r="T14" i="6" s="1"/>
  <c r="L14" i="6"/>
  <c r="L22" i="6" s="1"/>
  <c r="J14" i="6"/>
  <c r="J22" i="6" s="1"/>
  <c r="H14" i="6"/>
  <c r="H22" i="6" s="1"/>
  <c r="F14" i="6"/>
  <c r="F22" i="6" s="1"/>
  <c r="D14" i="6"/>
  <c r="D22" i="6" s="1"/>
  <c r="B14" i="6"/>
  <c r="B22" i="6" s="1"/>
  <c r="S13" i="6" s="1"/>
  <c r="N13" i="6"/>
  <c r="L13" i="6"/>
  <c r="J13" i="6"/>
  <c r="H13" i="6"/>
  <c r="F13" i="6"/>
  <c r="D13" i="6"/>
  <c r="B13" i="6"/>
  <c r="N11" i="6"/>
  <c r="L11" i="6"/>
  <c r="J11" i="6"/>
  <c r="H11" i="6"/>
  <c r="F11" i="6"/>
  <c r="D11" i="6"/>
  <c r="B11" i="6"/>
  <c r="S7" i="6"/>
  <c r="T7" i="6" s="1"/>
  <c r="S6" i="6"/>
  <c r="S5" i="6"/>
  <c r="S32" i="5"/>
  <c r="U29" i="5"/>
  <c r="K27" i="5"/>
  <c r="R25" i="5"/>
  <c r="B22" i="5"/>
  <c r="T20" i="5"/>
  <c r="L20" i="5"/>
  <c r="J20" i="5"/>
  <c r="H20" i="5"/>
  <c r="F20" i="5"/>
  <c r="D20" i="5"/>
  <c r="B20" i="5"/>
  <c r="T19" i="5"/>
  <c r="L19" i="5"/>
  <c r="J19" i="5"/>
  <c r="H19" i="5"/>
  <c r="F19" i="5"/>
  <c r="D19" i="5"/>
  <c r="B19" i="5"/>
  <c r="S18" i="5"/>
  <c r="T18" i="5" s="1"/>
  <c r="N18" i="5"/>
  <c r="L18" i="5"/>
  <c r="J18" i="5"/>
  <c r="H18" i="5"/>
  <c r="F18" i="5"/>
  <c r="D18" i="5"/>
  <c r="B18" i="5"/>
  <c r="T17" i="5"/>
  <c r="N17" i="5"/>
  <c r="L17" i="5"/>
  <c r="J17" i="5"/>
  <c r="H17" i="5"/>
  <c r="F17" i="5"/>
  <c r="D17" i="5"/>
  <c r="B17" i="5"/>
  <c r="S16" i="5"/>
  <c r="T16" i="5" s="1"/>
  <c r="N16" i="5"/>
  <c r="L16" i="5"/>
  <c r="J16" i="5"/>
  <c r="H16" i="5"/>
  <c r="F16" i="5"/>
  <c r="D16" i="5"/>
  <c r="B16" i="5"/>
  <c r="N15" i="5"/>
  <c r="L15" i="5"/>
  <c r="J15" i="5"/>
  <c r="H15" i="5"/>
  <c r="F15" i="5"/>
  <c r="D15" i="5"/>
  <c r="B15" i="5"/>
  <c r="N14" i="5"/>
  <c r="L14" i="5"/>
  <c r="J14" i="5"/>
  <c r="J22" i="5" s="1"/>
  <c r="H14" i="5"/>
  <c r="H22" i="5" s="1"/>
  <c r="F14" i="5"/>
  <c r="F22" i="5" s="1"/>
  <c r="D14" i="5"/>
  <c r="D22" i="5" s="1"/>
  <c r="B14" i="5"/>
  <c r="N13" i="5"/>
  <c r="N22" i="5" s="1"/>
  <c r="S14" i="5" s="1"/>
  <c r="T14" i="5" s="1"/>
  <c r="L13" i="5"/>
  <c r="L22" i="5" s="1"/>
  <c r="J13" i="5"/>
  <c r="H13" i="5"/>
  <c r="F13" i="5"/>
  <c r="D13" i="5"/>
  <c r="B13" i="5"/>
  <c r="N11" i="5"/>
  <c r="L11" i="5"/>
  <c r="J11" i="5"/>
  <c r="H11" i="5"/>
  <c r="F11" i="5"/>
  <c r="D11" i="5"/>
  <c r="B11" i="5"/>
  <c r="S7" i="5"/>
  <c r="T7" i="5" s="1"/>
  <c r="S6" i="5"/>
  <c r="S5" i="5"/>
  <c r="T21" i="3"/>
  <c r="U19" i="3" s="1"/>
  <c r="T7" i="3"/>
  <c r="S7" i="3"/>
  <c r="S6" i="3"/>
  <c r="S21" i="3"/>
  <c r="S5" i="3"/>
  <c r="T20" i="3"/>
  <c r="T19" i="3"/>
  <c r="T17" i="3"/>
  <c r="K27" i="3"/>
  <c r="S32" i="3"/>
  <c r="T18" i="3"/>
  <c r="T14" i="3"/>
  <c r="U29" i="3"/>
  <c r="S18" i="3"/>
  <c r="S16" i="3"/>
  <c r="T16" i="3" s="1"/>
  <c r="S14" i="3"/>
  <c r="N13" i="3"/>
  <c r="N18" i="3"/>
  <c r="N16" i="3"/>
  <c r="N14" i="3"/>
  <c r="N22" i="3"/>
  <c r="N11" i="3"/>
  <c r="S13" i="1"/>
  <c r="P20" i="1"/>
  <c r="P19" i="1"/>
  <c r="P18" i="1"/>
  <c r="P17" i="1"/>
  <c r="P16" i="1"/>
  <c r="P15" i="1"/>
  <c r="P14" i="1"/>
  <c r="P13" i="1"/>
  <c r="P22" i="1" s="1"/>
  <c r="N20" i="1"/>
  <c r="N19" i="1"/>
  <c r="N18" i="1"/>
  <c r="N17" i="1"/>
  <c r="N16" i="1"/>
  <c r="N22" i="1" s="1"/>
  <c r="N15" i="1"/>
  <c r="N14" i="1"/>
  <c r="N13" i="1"/>
  <c r="L20" i="1"/>
  <c r="L19" i="1"/>
  <c r="L18" i="1"/>
  <c r="L17" i="1"/>
  <c r="L16" i="1"/>
  <c r="L22" i="1" s="1"/>
  <c r="L15" i="1"/>
  <c r="L14" i="1"/>
  <c r="L13" i="1"/>
  <c r="J20" i="1"/>
  <c r="J19" i="1"/>
  <c r="J18" i="1"/>
  <c r="J17" i="1"/>
  <c r="J16" i="1"/>
  <c r="J22" i="1" s="1"/>
  <c r="J15" i="1"/>
  <c r="J14" i="1"/>
  <c r="J13" i="1"/>
  <c r="H20" i="1"/>
  <c r="H19" i="1"/>
  <c r="H18" i="1"/>
  <c r="H17" i="1"/>
  <c r="H16" i="1"/>
  <c r="H15" i="1"/>
  <c r="H14" i="1"/>
  <c r="H13" i="1"/>
  <c r="H22" i="1" s="1"/>
  <c r="F20" i="1"/>
  <c r="F19" i="1"/>
  <c r="F18" i="1"/>
  <c r="F17" i="1"/>
  <c r="F16" i="1"/>
  <c r="F15" i="1"/>
  <c r="F14" i="1"/>
  <c r="F13" i="1"/>
  <c r="F22" i="1" s="1"/>
  <c r="D22" i="1"/>
  <c r="D20" i="1"/>
  <c r="D19" i="1"/>
  <c r="D18" i="1"/>
  <c r="D17" i="1"/>
  <c r="D16" i="1"/>
  <c r="D15" i="1"/>
  <c r="D14" i="1"/>
  <c r="D13" i="1"/>
  <c r="B22" i="1"/>
  <c r="B20" i="1"/>
  <c r="N17" i="3"/>
  <c r="N15" i="3"/>
  <c r="L20" i="3"/>
  <c r="L19" i="3"/>
  <c r="L18" i="3"/>
  <c r="L17" i="3"/>
  <c r="L16" i="3"/>
  <c r="L15" i="3"/>
  <c r="L14" i="3"/>
  <c r="L13" i="3"/>
  <c r="J20" i="3"/>
  <c r="J19" i="3"/>
  <c r="J18" i="3"/>
  <c r="J17" i="3"/>
  <c r="J16" i="3"/>
  <c r="J15" i="3"/>
  <c r="J14" i="3"/>
  <c r="J13" i="3"/>
  <c r="H20" i="3"/>
  <c r="H19" i="3"/>
  <c r="H18" i="3"/>
  <c r="H17" i="3"/>
  <c r="H16" i="3"/>
  <c r="H15" i="3"/>
  <c r="H14" i="3"/>
  <c r="H13" i="3"/>
  <c r="F20" i="3"/>
  <c r="F19" i="3"/>
  <c r="F18" i="3"/>
  <c r="F17" i="3"/>
  <c r="F16" i="3"/>
  <c r="F15" i="3"/>
  <c r="F14" i="3"/>
  <c r="F13" i="3"/>
  <c r="D20" i="3"/>
  <c r="D19" i="3"/>
  <c r="D18" i="3"/>
  <c r="D17" i="3"/>
  <c r="D16" i="3"/>
  <c r="D15" i="3"/>
  <c r="D14" i="3"/>
  <c r="D13" i="3"/>
  <c r="B20" i="3"/>
  <c r="B13" i="3"/>
  <c r="R25" i="3"/>
  <c r="B19" i="3"/>
  <c r="B18" i="3"/>
  <c r="B17" i="3"/>
  <c r="B16" i="3"/>
  <c r="B15" i="3"/>
  <c r="B14" i="3"/>
  <c r="L11" i="3"/>
  <c r="J11" i="3"/>
  <c r="H11" i="3"/>
  <c r="F11" i="3"/>
  <c r="D11" i="3"/>
  <c r="B11" i="3"/>
  <c r="P11" i="1"/>
  <c r="N11" i="1"/>
  <c r="L11" i="1"/>
  <c r="J11" i="1"/>
  <c r="H11" i="1"/>
  <c r="B19" i="1"/>
  <c r="B18" i="1"/>
  <c r="B14" i="1"/>
  <c r="B15" i="1"/>
  <c r="B16" i="1"/>
  <c r="B17" i="1"/>
  <c r="B13" i="1"/>
  <c r="B11" i="1"/>
  <c r="D11" i="1"/>
  <c r="F11" i="1"/>
  <c r="R25" i="1"/>
  <c r="S13" i="7" l="1"/>
  <c r="T13" i="6"/>
  <c r="S15" i="6"/>
  <c r="S13" i="5"/>
  <c r="U15" i="3"/>
  <c r="U18" i="3"/>
  <c r="U13" i="3"/>
  <c r="U14" i="3"/>
  <c r="U21" i="3"/>
  <c r="U16" i="3"/>
  <c r="U17" i="3"/>
  <c r="U20" i="3"/>
  <c r="D22" i="3"/>
  <c r="S13" i="3" s="1"/>
  <c r="J22" i="3"/>
  <c r="B22" i="3"/>
  <c r="F22" i="3"/>
  <c r="L22" i="3"/>
  <c r="H22" i="3"/>
  <c r="T13" i="7" l="1"/>
  <c r="S15" i="7"/>
  <c r="T15" i="6"/>
  <c r="S21" i="6"/>
  <c r="T13" i="5"/>
  <c r="S15" i="5"/>
  <c r="T13" i="3"/>
  <c r="S15" i="3"/>
  <c r="T15" i="7" l="1"/>
  <c r="S21" i="7"/>
  <c r="T21" i="6"/>
  <c r="T15" i="5"/>
  <c r="S21" i="5"/>
  <c r="T15" i="3"/>
  <c r="T21" i="7" l="1"/>
  <c r="U15" i="7"/>
  <c r="U17" i="6"/>
  <c r="U21" i="6"/>
  <c r="U18" i="6"/>
  <c r="U14" i="6"/>
  <c r="U19" i="6"/>
  <c r="U20" i="6"/>
  <c r="U16" i="6"/>
  <c r="U13" i="6"/>
  <c r="U15" i="6"/>
  <c r="T21" i="5"/>
  <c r="U15" i="5"/>
  <c r="U19" i="7" l="1"/>
  <c r="U21" i="7"/>
  <c r="U17" i="7"/>
  <c r="U14" i="7"/>
  <c r="U18" i="7"/>
  <c r="U16" i="7"/>
  <c r="U20" i="7"/>
  <c r="U13" i="7"/>
  <c r="U21" i="5"/>
  <c r="U14" i="5"/>
  <c r="U18" i="5"/>
  <c r="U19" i="5"/>
  <c r="U16" i="5"/>
  <c r="U17" i="5"/>
  <c r="U20" i="5"/>
  <c r="U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tc={9FF11AE3-2457-4E51-8645-00039F3F0498}</author>
    <author>tc={C22F9A26-A540-4E93-96E8-AF495B1DA3E0}</author>
    <author>tc={A2054FEF-394F-4DB1-BA39-627837B75955}</author>
    <author>tc={D643DD6F-4B4D-448D-810B-F22335D9673C}</author>
    <author>tc={97750747-E46D-4BDB-85F1-2E936FD91CE5}</author>
    <author>tc={46F2436A-438D-42A2-8C86-9A4609471872}</author>
    <author>tc={E414B938-049A-4519-869F-1E51D2AED868}</author>
    <author>tc={F730405B-0302-47A9-9DC8-3618E21C6420}</author>
    <author>tc={0E2E24CE-2BDE-4D32-A89E-F90E5BD3B6A9}</author>
    <author>tc={9569B36A-3BE0-447B-BA40-E5C172D19823}</author>
    <author>tc={2BE43647-4AC5-4B5C-AF9E-B308154C08DA}</author>
    <author>tc={702AD37A-B28D-4C2D-890E-D3BE5C4EFEB1}</author>
    <author>tc={81A5F089-377B-4FC3-A8FB-3D3F8383733E}</author>
    <author>tc={00C2FE6F-7376-4F99-809F-8BA693BA4998}</author>
    <author>tc={1176389C-1686-44EE-822E-453290EA6555}</author>
  </authors>
  <commentList>
    <comment ref="G2" authorId="0" shapeId="0" xr:uid="{9FF11AE3-2457-4E51-8645-00039F3F04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5
Antecipada para liberar os dois semestres finais apenas para optativas de modo a deixar claro que se trata de um curso aplicado de acordo com as enfases.</t>
      </text>
    </comment>
    <comment ref="I2" authorId="1" shapeId="0" xr:uid="{C22F9A26-A540-4E93-96E8-AF495B1DA3E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6
Antecipado para liberar os semestres finais para disciplinas optativas evidenciando as enfases.
</t>
      </text>
    </comment>
    <comment ref="K2" authorId="2" shapeId="0" xr:uid="{A2054FEF-394F-4DB1-BA39-627837B759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7 
Antecipado para liberar os semestres finais para disciplinas optativas evidenciando as enfases.
</t>
      </text>
    </comment>
    <comment ref="K3" authorId="3" shapeId="0" xr:uid="{D643DD6F-4B4D-448D-810B-F22335D967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2 
Postergado para equilibrar carga horária e dificuldade no semestre.</t>
      </text>
    </comment>
    <comment ref="C4" authorId="4" shapeId="0" xr:uid="{97750747-E46D-4BDB-85F1-2E936FD91C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3 
Antecipada para ficar perto de probabilidade e estatistica e ser introdução a machine learning </t>
      </text>
    </comment>
    <comment ref="K4" authorId="5" shapeId="0" xr:uid="{46F2436A-438D-42A2-8C86-9A460947187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7 
Antecipado para liberar os semestres finais para disciplinas optativas evidenciando as enfases.
</t>
      </text>
    </comment>
    <comment ref="G5" authorId="6" shapeId="0" xr:uid="{E414B938-049A-4519-869F-1E51D2AED8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6
Antecipada para liberar os dois semestres finais apenas para optativas de modo a deixar claro que se trata de um curso aplicado de acordo com as enfases.
</t>
      </text>
    </comment>
    <comment ref="I5" authorId="7" shapeId="0" xr:uid="{F730405B-0302-47A9-9DC8-3618E21C64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7 
Antecipado para manter a ordem junto á disciplina anterior e para liberar os semestres finais para disciplinas optativas evidenciando as enfases.</t>
      </text>
    </comment>
    <comment ref="K5" authorId="8" shapeId="0" xr:uid="{0E2E24CE-2BDE-4D32-A89E-F90E5BD3B6A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7 
Antecipado para liberar os semestres finais para disciplinas optativas evidenciando as enfases.
</t>
      </text>
    </comment>
    <comment ref="K6" authorId="9" shapeId="0" xr:uid="{9569B36A-3BE0-447B-BA40-E5C172D198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5
postergado para equilibrar cargas horárias entre os semestres (pensei em inserir após todos os machine learning)</t>
      </text>
    </comment>
    <comment ref="C7" authorId="10" shapeId="0" xr:uid="{2BE43647-4AC5-4B5C-AF9E-B308154C08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6 
Antecipada para ficar perto de estatistica descritiva (é uma das etapas de análise exploratória).</t>
      </text>
    </comment>
    <comment ref="I7" authorId="11" shapeId="0" xr:uid="{702AD37A-B28D-4C2D-890E-D3BE5C4EFE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4
Postergado para equilibrar carga horária e deslocado de criação de negócio para seguir uma sequencia lógica entre as disciplinas.</t>
      </text>
    </comment>
    <comment ref="K7" authorId="12" shapeId="0" xr:uid="{81A5F089-377B-4FC3-A8FB-3D3F838373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4 
Postergado para equilibrar carga horária e deslocado de engenharia economica para sequencia lógica das disciplinas.</t>
      </text>
    </comment>
    <comment ref="E8" authorId="13" shapeId="0" xr:uid="{00C2FE6F-7376-4F99-809F-8BA693BA49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Original: 2 
Postergada para dividir um pouco da dificuldade analítica entre o segundo e terceiro semestre e também para se criar um percurso lógico de engenharia de produção na grade.</t>
      </text>
    </comment>
    <comment ref="S16" authorId="14" shapeId="0" xr:uid="{1176389C-1686-44EE-822E-453290EA65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Aproximadamente 30% de disciplinas aplicadas.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tc={9463B78C-F946-403F-9937-3BDE1705D2FF}</author>
  </authors>
  <commentList>
    <comment ref="S16" authorId="0" shapeId="0" xr:uid="{9463B78C-F946-403F-9937-3BDE1705D2F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Aproximadamente 30% de disciplinas aplicadas.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tc={DBF7D72C-A71F-4D20-98AA-5F422A85E5B3}</author>
  </authors>
  <commentList>
    <comment ref="S16" authorId="0" shapeId="0" xr:uid="{DBF7D72C-A71F-4D20-98AA-5F422A85E5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Aproximadamente 30% de disciplinas aplicadas.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tc={49E68B77-3F83-4D68-BB22-59B08A53E7BF}</author>
  </authors>
  <commentList>
    <comment ref="S16" authorId="0" shapeId="0" xr:uid="{49E68B77-3F83-4D68-BB22-59B08A53E7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Aproximadamente 30% de disciplinas aplicadas.</t>
      </text>
    </comment>
  </commentList>
</comments>
</file>

<file path=xl/sharedStrings.xml><?xml version="1.0" encoding="utf-8"?>
<sst xmlns="http://schemas.openxmlformats.org/spreadsheetml/2006/main" count="490" uniqueCount="107">
  <si>
    <t xml:space="preserve">Semestre 1 </t>
  </si>
  <si>
    <t>CH</t>
  </si>
  <si>
    <t>Semestre 2</t>
  </si>
  <si>
    <t>Semestre 3</t>
  </si>
  <si>
    <t>Semestre 4</t>
  </si>
  <si>
    <t>Semestre 5</t>
  </si>
  <si>
    <t>Semestre 6</t>
  </si>
  <si>
    <t>Semestre 7</t>
  </si>
  <si>
    <t>Semestre 8</t>
  </si>
  <si>
    <t xml:space="preserve">Cálculo 1 </t>
  </si>
  <si>
    <t>Análise Exploratória de Dados</t>
  </si>
  <si>
    <t>Probabilidade e Estatística</t>
  </si>
  <si>
    <t>Introdução a Ciência de Dados</t>
  </si>
  <si>
    <t>Programação 1</t>
  </si>
  <si>
    <t xml:space="preserve">Horas Semanais </t>
  </si>
  <si>
    <t>Cálculo 2</t>
  </si>
  <si>
    <t>Programação 2</t>
  </si>
  <si>
    <t>Estrutura de Dados e Algoritmos</t>
  </si>
  <si>
    <t>Ética e Governança de Dados</t>
  </si>
  <si>
    <t>Cálculo 3</t>
  </si>
  <si>
    <t>Machine Learning 1</t>
  </si>
  <si>
    <t xml:space="preserve">Engenharia de Software </t>
  </si>
  <si>
    <t>limite real</t>
  </si>
  <si>
    <t>limite hipotético</t>
  </si>
  <si>
    <t>Industria 4.0</t>
  </si>
  <si>
    <t>Machine Learning 3</t>
  </si>
  <si>
    <t>Big Data e Processamento Distribuído</t>
  </si>
  <si>
    <t>Agentes de IA</t>
  </si>
  <si>
    <t>Automação Low-Code e Integração de Dados</t>
  </si>
  <si>
    <t>Engenharia da Transformação Digital</t>
  </si>
  <si>
    <t>Álgebra Linear Computacional</t>
  </si>
  <si>
    <t>Gerenciamento de Projetos</t>
  </si>
  <si>
    <t>Planejamento e Controle da Produção</t>
  </si>
  <si>
    <t>Computação em Núvem</t>
  </si>
  <si>
    <t>Machine Learning 2</t>
  </si>
  <si>
    <t>Banco de Dados 2</t>
  </si>
  <si>
    <t>Criação de Negócio</t>
  </si>
  <si>
    <t>Engenharia Econômica</t>
  </si>
  <si>
    <t>Gestão Ágil de Projetos</t>
  </si>
  <si>
    <t>Inferência Estatística</t>
  </si>
  <si>
    <t>Banco de Dados 1</t>
  </si>
  <si>
    <t>Engenharia de Dados</t>
  </si>
  <si>
    <t>Engenharia da Qualidade</t>
  </si>
  <si>
    <t>Análise e Processamento de Sinais 1</t>
  </si>
  <si>
    <t>Estatística Multivariada</t>
  </si>
  <si>
    <t>Visualização de dados</t>
  </si>
  <si>
    <t>Visão Computacional</t>
  </si>
  <si>
    <t>Projeto e Análise de Experimentos</t>
  </si>
  <si>
    <t>Metaheuristicas</t>
  </si>
  <si>
    <t>Análise e Processamento de Sinais 2</t>
  </si>
  <si>
    <t>Disciplina optatória por enfase</t>
  </si>
  <si>
    <t>Disciplinas Obrigatórias</t>
  </si>
  <si>
    <t xml:space="preserve">Disciplonas Optativas </t>
  </si>
  <si>
    <t xml:space="preserve">Limites de horas por semana </t>
  </si>
  <si>
    <t>Otimização 1</t>
  </si>
  <si>
    <t>Otimização2</t>
  </si>
  <si>
    <t>Projeto integrador1</t>
  </si>
  <si>
    <t>Projeto integrador 2</t>
  </si>
  <si>
    <t>Retirado</t>
  </si>
  <si>
    <t>Tópicos Especiais: Fontes de Dados no Esporte</t>
  </si>
  <si>
    <t>Tópicos Especiais: Visualização de Dados no Esporte</t>
  </si>
  <si>
    <t>Data Analytics Aplicado ao Esporte</t>
  </si>
  <si>
    <t>LINHA DE ESPORTE</t>
  </si>
  <si>
    <t>NOME</t>
  </si>
  <si>
    <t>Machine Learning para Carga de Treino e Prevenção de Lesões</t>
  </si>
  <si>
    <t>Machine Learning para Precificação de Atletas</t>
  </si>
  <si>
    <t>LINHA DE GESTÃO</t>
  </si>
  <si>
    <t xml:space="preserve">Scouting com Machine Learning </t>
  </si>
  <si>
    <t>Data Analytics Aplicado à Gestão</t>
  </si>
  <si>
    <t>LINHA DE SAÚDE</t>
  </si>
  <si>
    <t>Ciência de Dados para Gestão de Portfólios</t>
  </si>
  <si>
    <t>Tópicos Especiais: Econometria</t>
  </si>
  <si>
    <t>Tópicos Especiais: Machine Learning para Marketing</t>
  </si>
  <si>
    <t>Data Analytics Aplicado à Saúde</t>
  </si>
  <si>
    <t>Tópicos Especiais: Fontes de Dados Econômicos</t>
  </si>
  <si>
    <t xml:space="preserve">Ciência de Dados para Análise de Conjuntura Macroeconômica </t>
  </si>
  <si>
    <t>Tópicos Especiais: Fontes de Dados da Saúde</t>
  </si>
  <si>
    <t>Data Analytics Aplicado à Energia</t>
  </si>
  <si>
    <t>Redes Neurais de Grafos</t>
  </si>
  <si>
    <t>TÓPICOS ESPECIAIS SEM LINHAS</t>
  </si>
  <si>
    <t>Disciplinas Optativas</t>
  </si>
  <si>
    <t xml:space="preserve">TCC 1 </t>
  </si>
  <si>
    <t>Disciplinas Optativas (Trilhas do Curso)</t>
  </si>
  <si>
    <t xml:space="preserve">TCC 2 </t>
  </si>
  <si>
    <t>Estágio Supervisionado</t>
  </si>
  <si>
    <t>Disciplinas (Obrigatórias e Optativas)</t>
  </si>
  <si>
    <t>Elemento</t>
  </si>
  <si>
    <t>Disciplinas Aplicadas</t>
  </si>
  <si>
    <t>Trabalho de Conclusão de Curso</t>
  </si>
  <si>
    <t>CH (hora.aula)</t>
  </si>
  <si>
    <t>CH (hora.relógio)</t>
  </si>
  <si>
    <t>Total</t>
  </si>
  <si>
    <t>Atividade de Extensão</t>
  </si>
  <si>
    <t>Atividade Complementar</t>
  </si>
  <si>
    <t>a</t>
  </si>
  <si>
    <t>d</t>
  </si>
  <si>
    <t>b</t>
  </si>
  <si>
    <t>c</t>
  </si>
  <si>
    <t>e</t>
  </si>
  <si>
    <t>f</t>
  </si>
  <si>
    <t>g</t>
  </si>
  <si>
    <t>h</t>
  </si>
  <si>
    <t>OPTATIVAS DE OUTROS CURSOS</t>
  </si>
  <si>
    <t>Todas as disciplinas dos cursos de sistemas de informação, engenharia de produção e administração</t>
  </si>
  <si>
    <t>Proporção</t>
  </si>
  <si>
    <t>Machine Learning e Padrões em Saúde</t>
  </si>
  <si>
    <t>Análise de Imagens Médicas com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</si>
</sst>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indexed="81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ont="1" applyFill="1"/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/>
    </xf>
    <xf numFmtId="1" fontId="2" fillId="0" borderId="0" xfId="0" applyNumberFormat="1" applyFont="1"/>
    <xf numFmtId="0" fontId="2" fillId="0" borderId="5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ctor Valerio" id="{3C531A7B-E4F1-4504-9036-3A285E42BF77}" userId="0b99cce9054e32dd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11-22T02:56:28.86" personId="{3C531A7B-E4F1-4504-9036-3A285E42BF77}" id="{9FF11AE3-2457-4E51-8645-00039F3F0498}">
    <text>Original: 5
Antecipada para liberar os dois semestres finais apenas para optativas de modo a deixar claro que se trata de um curso aplicado de acordo com as enfases.</text>
  </threadedComment>
  <threadedComment ref="I2" dT="2025-11-22T03:06:48.64" personId="{3C531A7B-E4F1-4504-9036-3A285E42BF77}" id="{C22F9A26-A540-4E93-96E8-AF495B1DA3E0}">
    <text xml:space="preserve">Original: 6
Antecipado para liberar os semestres finais para disciplinas optativas evidenciando as enfases.
</text>
  </threadedComment>
  <threadedComment ref="K2" dT="2025-11-22T03:07:20.00" personId="{3C531A7B-E4F1-4504-9036-3A285E42BF77}" id="{A2054FEF-394F-4DB1-BA39-627837B75955}">
    <text xml:space="preserve">Original: 7 
Antecipado para liberar os semestres finais para disciplinas optativas evidenciando as enfases.
</text>
  </threadedComment>
  <threadedComment ref="K3" dT="2025-11-22T03:01:16.49" personId="{3C531A7B-E4F1-4504-9036-3A285E42BF77}" id="{D643DD6F-4B4D-448D-810B-F22335D9673C}">
    <text>Original: 2 
Postergado para equilibrar carga horária e dificuldade no semestre.</text>
  </threadedComment>
  <threadedComment ref="C4" dT="2025-11-22T02:32:55.80" personId="{3C531A7B-E4F1-4504-9036-3A285E42BF77}" id="{97750747-E46D-4BDB-85F1-2E936FD91CE5}">
    <text xml:space="preserve">Original: 3 
Antecipada para ficar perto de probabilidade e estatistica e ser introdução a machine learning </text>
  </threadedComment>
  <threadedComment ref="K4" dT="2025-11-22T03:08:07.63" personId="{3C531A7B-E4F1-4504-9036-3A285E42BF77}" id="{46F2436A-438D-42A2-8C86-9A4609471872}">
    <text xml:space="preserve">Original: 7 
Antecipado para liberar os semestres finais para disciplinas optativas evidenciando as enfases.
</text>
  </threadedComment>
  <threadedComment ref="G5" dT="2025-11-22T02:57:18.18" personId="{3C531A7B-E4F1-4504-9036-3A285E42BF77}" id="{E414B938-049A-4519-869F-1E51D2AED868}">
    <text xml:space="preserve">Original: 6
Antecipada para liberar os dois semestres finais apenas para optativas de modo a deixar claro que se trata de um curso aplicado de acordo com as enfases.
</text>
  </threadedComment>
  <threadedComment ref="I5" dT="2025-11-22T03:01:59.80" personId="{3C531A7B-E4F1-4504-9036-3A285E42BF77}" id="{F730405B-0302-47A9-9DC8-3618E21C6420}">
    <text>Original: 7 
Antecipado para manter a ordem junto á disciplina anterior e para liberar os semestres finais para disciplinas optativas evidenciando as enfases.</text>
  </threadedComment>
  <threadedComment ref="K5" dT="2025-11-22T03:08:18.83" personId="{3C531A7B-E4F1-4504-9036-3A285E42BF77}" id="{0E2E24CE-2BDE-4D32-A89E-F90E5BD3B6A9}">
    <text xml:space="preserve">Original: 7 
Antecipado para liberar os semestres finais para disciplinas optativas evidenciando as enfases.
</text>
  </threadedComment>
  <threadedComment ref="K6" dT="2025-11-22T03:09:48.83" personId="{3C531A7B-E4F1-4504-9036-3A285E42BF77}" id="{9569B36A-3BE0-447B-BA40-E5C172D19823}">
    <text>Original: 5
postergado para equilibrar cargas horárias entre os semestres (pensei em inserir após todos os machine learning)</text>
  </threadedComment>
  <threadedComment ref="C7" dT="2025-11-22T02:34:09.29" personId="{3C531A7B-E4F1-4504-9036-3A285E42BF77}" id="{2BE43647-4AC5-4B5C-AF9E-B308154C08DA}">
    <text>Original: 6 
Antecipada para ficar perto de estatistica descritiva (é uma das etapas de análise exploratória).</text>
  </threadedComment>
  <threadedComment ref="I7" dT="2025-11-22T03:02:53.68" personId="{3C531A7B-E4F1-4504-9036-3A285E42BF77}" id="{702AD37A-B28D-4C2D-890E-D3BE5C4EFEB1}">
    <text>Original: 4
Postergado para equilibrar carga horária e deslocado de criação de negócio para seguir uma sequencia lógica entre as disciplinas.</text>
  </threadedComment>
  <threadedComment ref="K7" dT="2025-11-22T03:04:26.66" personId="{3C531A7B-E4F1-4504-9036-3A285E42BF77}" id="{81A5F089-377B-4FC3-A8FB-3D3F8383733E}">
    <text>Original: 4 
Postergado para equilibrar carga horária e deslocado de engenharia economica para sequencia lógica das disciplinas.</text>
  </threadedComment>
  <threadedComment ref="E8" dT="2025-11-22T02:48:16.84" personId="{3C531A7B-E4F1-4504-9036-3A285E42BF77}" id="{00C2FE6F-7376-4F99-809F-8BA693BA4998}">
    <text>Original: 2 
Postergada para dividir um pouco da dificuldade analítica entre o segundo e terceiro semestre e também para se criar um percurso lógico de engenharia de produção na grade.</text>
  </threadedComment>
  <threadedComment ref="S16" dT="2025-11-22T13:22:08.88" personId="{3C531A7B-E4F1-4504-9036-3A285E42BF77}" id="{1176389C-1686-44EE-822E-453290EA6555}">
    <text>Aproximadamente 30% de disciplinas aplicadas.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16" dT="2025-11-22T13:22:08.88" personId="{3C531A7B-E4F1-4504-9036-3A285E42BF77}" id="{9463B78C-F946-403F-9937-3BDE1705D2FF}">
    <text>Aproximadamente 30% de disciplinas aplicadas.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16" dT="2025-11-22T13:22:08.88" personId="{3C531A7B-E4F1-4504-9036-3A285E42BF77}" id="{DBF7D72C-A71F-4D20-98AA-5F422A85E5B3}">
    <text>Aproximadamente 30% de disciplinas aplicadas.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16" dT="2025-11-22T13:22:08.88" personId="{3C531A7B-E4F1-4504-9036-3A285E42BF77}" id="{49E68B77-3F83-4D68-BB22-59B08A53E7BF}">
    <text>Aproximadamente 30% de disciplinas aplicadas.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A9CA-E740-4F31-856F-E3236BCE956A}">
  <dimension ref="A1:S26"/>
  <sheetViews>
    <sheetView tabSelected="1" zoomScaleNormal="100" workbookViewId="0">
      <selection activeCell="G9" sqref="G9"/>
    </sheetView>
  </sheetViews>
  <sheetFormatPr defaultRowHeight="12.75" x14ac:dyDescent="0.2"/>
  <cols>
    <col min="1" max="1" width="18.5703125" style="4" customWidth="1"/>
    <col min="2" max="2" width="5.7109375" style="8" customWidth="1"/>
    <col min="3" max="3" width="18.5703125" style="4" customWidth="1"/>
    <col min="4" max="4" width="5.7109375" style="8" customWidth="1"/>
    <col min="5" max="5" width="18.5703125" style="4" customWidth="1"/>
    <col min="6" max="6" width="5.7109375" style="8" customWidth="1"/>
    <col min="7" max="7" width="18.5703125" style="4" customWidth="1"/>
    <col min="8" max="8" width="5.7109375" style="8" customWidth="1"/>
    <col min="9" max="9" width="18.5703125" style="4" customWidth="1"/>
    <col min="10" max="10" width="5.7109375" style="8" customWidth="1"/>
    <col min="11" max="11" width="18.5703125" style="4" customWidth="1"/>
    <col min="12" max="12" width="5.7109375" style="8" customWidth="1"/>
    <col min="13" max="13" width="18.5703125" style="4" customWidth="1"/>
    <col min="14" max="14" width="5.7109375" style="8" customWidth="1"/>
    <col min="15" max="15" width="18.5703125" style="4" customWidth="1"/>
    <col min="16" max="16" width="5.7109375" style="8" customWidth="1"/>
    <col min="17" max="17" width="9.140625" style="4"/>
    <col min="18" max="18" width="20.85546875" style="4" bestFit="1" customWidth="1"/>
    <col min="19" max="20" width="14.140625" style="4" bestFit="1" customWidth="1"/>
    <col min="21" max="16384" width="9.140625" style="4"/>
  </cols>
  <sheetData>
    <row r="1" spans="1:19" x14ac:dyDescent="0.2">
      <c r="A1" s="1" t="s">
        <v>0</v>
      </c>
      <c r="B1" s="2" t="s">
        <v>1</v>
      </c>
      <c r="C1" s="3" t="s">
        <v>2</v>
      </c>
      <c r="D1" s="2" t="s">
        <v>1</v>
      </c>
      <c r="E1" s="1" t="s">
        <v>3</v>
      </c>
      <c r="F1" s="2" t="s">
        <v>1</v>
      </c>
      <c r="G1" s="1" t="s">
        <v>4</v>
      </c>
      <c r="H1" s="2" t="s">
        <v>1</v>
      </c>
      <c r="I1" s="1" t="s">
        <v>5</v>
      </c>
      <c r="J1" s="2" t="s">
        <v>1</v>
      </c>
      <c r="K1" s="1" t="s">
        <v>6</v>
      </c>
      <c r="L1" s="2" t="s">
        <v>1</v>
      </c>
      <c r="M1" s="1" t="s">
        <v>7</v>
      </c>
      <c r="N1" s="2" t="s">
        <v>1</v>
      </c>
      <c r="O1" s="1" t="s">
        <v>8</v>
      </c>
      <c r="P1" s="2" t="s">
        <v>1</v>
      </c>
    </row>
    <row r="2" spans="1:19" ht="25.5" x14ac:dyDescent="0.2">
      <c r="A2" s="16" t="s">
        <v>9</v>
      </c>
      <c r="B2" s="5">
        <v>4</v>
      </c>
      <c r="C2" s="16" t="s">
        <v>15</v>
      </c>
      <c r="D2" s="5">
        <v>3</v>
      </c>
      <c r="E2" s="16" t="s">
        <v>19</v>
      </c>
      <c r="F2" s="6">
        <v>3</v>
      </c>
      <c r="G2" s="16" t="s">
        <v>33</v>
      </c>
      <c r="H2" s="7">
        <v>3</v>
      </c>
      <c r="I2" s="16" t="s">
        <v>56</v>
      </c>
      <c r="J2" s="5">
        <v>6</v>
      </c>
      <c r="K2" s="16" t="s">
        <v>46</v>
      </c>
      <c r="L2" s="5">
        <v>3</v>
      </c>
      <c r="M2" s="19" t="s">
        <v>57</v>
      </c>
      <c r="N2" s="5">
        <v>6</v>
      </c>
      <c r="O2" s="16" t="s">
        <v>50</v>
      </c>
      <c r="P2" s="5">
        <v>3</v>
      </c>
    </row>
    <row r="3" spans="1:19" ht="38.25" x14ac:dyDescent="0.2">
      <c r="A3" s="16" t="s">
        <v>10</v>
      </c>
      <c r="B3" s="5">
        <v>3</v>
      </c>
      <c r="C3" s="16" t="s">
        <v>30</v>
      </c>
      <c r="D3" s="5">
        <v>3</v>
      </c>
      <c r="E3" s="16" t="s">
        <v>54</v>
      </c>
      <c r="F3" s="6">
        <v>3</v>
      </c>
      <c r="G3" s="16" t="s">
        <v>55</v>
      </c>
      <c r="H3" s="7">
        <v>3</v>
      </c>
      <c r="I3" s="16" t="s">
        <v>28</v>
      </c>
      <c r="J3" s="5">
        <v>4</v>
      </c>
      <c r="K3" s="18" t="s">
        <v>44</v>
      </c>
      <c r="L3" s="5">
        <v>3</v>
      </c>
      <c r="M3" s="16" t="s">
        <v>47</v>
      </c>
      <c r="N3" s="5">
        <v>3</v>
      </c>
      <c r="O3" s="16"/>
      <c r="P3" s="5"/>
    </row>
    <row r="4" spans="1:19" ht="38.25" x14ac:dyDescent="0.2">
      <c r="A4" s="16" t="s">
        <v>11</v>
      </c>
      <c r="B4" s="5">
        <v>3</v>
      </c>
      <c r="C4" s="16" t="s">
        <v>31</v>
      </c>
      <c r="D4" s="5">
        <v>3</v>
      </c>
      <c r="E4" s="16" t="s">
        <v>39</v>
      </c>
      <c r="F4" s="6">
        <v>2</v>
      </c>
      <c r="G4" s="16" t="s">
        <v>24</v>
      </c>
      <c r="H4" s="7">
        <v>3</v>
      </c>
      <c r="I4" s="16" t="s">
        <v>27</v>
      </c>
      <c r="J4" s="5">
        <v>3</v>
      </c>
      <c r="K4" s="16" t="s">
        <v>43</v>
      </c>
      <c r="L4" s="5">
        <v>3</v>
      </c>
      <c r="M4" s="16" t="s">
        <v>49</v>
      </c>
      <c r="N4" s="5">
        <v>3</v>
      </c>
      <c r="O4" s="16"/>
      <c r="P4" s="5"/>
    </row>
    <row r="5" spans="1:19" ht="25.5" x14ac:dyDescent="0.2">
      <c r="A5" s="17" t="s">
        <v>12</v>
      </c>
      <c r="B5" s="9">
        <v>3</v>
      </c>
      <c r="C5" s="17" t="s">
        <v>17</v>
      </c>
      <c r="D5" s="9">
        <v>3</v>
      </c>
      <c r="E5" s="17" t="s">
        <v>20</v>
      </c>
      <c r="F5" s="10">
        <v>4</v>
      </c>
      <c r="G5" s="17" t="s">
        <v>34</v>
      </c>
      <c r="H5" s="11">
        <v>3</v>
      </c>
      <c r="I5" s="17" t="s">
        <v>25</v>
      </c>
      <c r="J5" s="9">
        <v>3</v>
      </c>
      <c r="K5" s="16" t="s">
        <v>45</v>
      </c>
      <c r="L5" s="9">
        <v>3</v>
      </c>
      <c r="M5" s="16" t="s">
        <v>48</v>
      </c>
      <c r="N5" s="9">
        <v>3</v>
      </c>
      <c r="O5" s="17"/>
      <c r="P5" s="5"/>
    </row>
    <row r="6" spans="1:19" ht="38.25" x14ac:dyDescent="0.2">
      <c r="A6" s="16" t="s">
        <v>13</v>
      </c>
      <c r="B6" s="5">
        <v>3</v>
      </c>
      <c r="C6" s="16" t="s">
        <v>16</v>
      </c>
      <c r="D6" s="5">
        <v>3</v>
      </c>
      <c r="E6" s="16" t="s">
        <v>40</v>
      </c>
      <c r="F6" s="5">
        <v>2</v>
      </c>
      <c r="G6" s="16" t="s">
        <v>35</v>
      </c>
      <c r="H6" s="5">
        <v>3</v>
      </c>
      <c r="I6" s="16" t="s">
        <v>26</v>
      </c>
      <c r="J6" s="5">
        <v>3</v>
      </c>
      <c r="K6" s="16" t="s">
        <v>42</v>
      </c>
      <c r="L6" s="5">
        <v>3</v>
      </c>
      <c r="M6" s="16"/>
      <c r="N6" s="5"/>
      <c r="O6" s="16"/>
      <c r="P6" s="5"/>
    </row>
    <row r="7" spans="1:19" ht="38.25" x14ac:dyDescent="0.2">
      <c r="A7" s="16" t="s">
        <v>29</v>
      </c>
      <c r="B7" s="5">
        <v>3</v>
      </c>
      <c r="C7" s="16" t="s">
        <v>32</v>
      </c>
      <c r="D7" s="5">
        <v>3</v>
      </c>
      <c r="E7" s="16" t="s">
        <v>41</v>
      </c>
      <c r="F7" s="5">
        <v>2</v>
      </c>
      <c r="G7" s="16" t="s">
        <v>36</v>
      </c>
      <c r="H7" s="5">
        <v>3</v>
      </c>
      <c r="I7" s="16"/>
      <c r="J7" s="5"/>
      <c r="K7" s="19"/>
      <c r="L7" s="5"/>
      <c r="M7" s="16"/>
      <c r="N7" s="5"/>
      <c r="O7" s="16"/>
      <c r="P7" s="5"/>
    </row>
    <row r="8" spans="1:19" ht="25.5" x14ac:dyDescent="0.2">
      <c r="A8" s="16"/>
      <c r="B8" s="5"/>
      <c r="C8" s="16" t="s">
        <v>18</v>
      </c>
      <c r="D8" s="5">
        <v>3</v>
      </c>
      <c r="E8" s="16" t="s">
        <v>21</v>
      </c>
      <c r="F8" s="5">
        <v>3</v>
      </c>
      <c r="G8" s="16" t="s">
        <v>37</v>
      </c>
      <c r="H8" s="5">
        <v>3</v>
      </c>
      <c r="I8" s="16"/>
      <c r="J8" s="5"/>
      <c r="K8" s="16"/>
      <c r="L8" s="5"/>
      <c r="M8" s="16"/>
      <c r="N8" s="5"/>
      <c r="O8" s="16"/>
      <c r="P8" s="5"/>
    </row>
    <row r="9" spans="1:19" ht="25.5" x14ac:dyDescent="0.2">
      <c r="A9" s="16"/>
      <c r="B9" s="5"/>
      <c r="C9" s="16"/>
      <c r="D9" s="5"/>
      <c r="E9" s="16"/>
      <c r="F9" s="5"/>
      <c r="G9" s="16" t="s">
        <v>38</v>
      </c>
      <c r="H9" s="5">
        <v>2</v>
      </c>
      <c r="I9" s="16"/>
      <c r="J9" s="5"/>
      <c r="K9" s="16"/>
      <c r="L9" s="5"/>
      <c r="M9" s="16"/>
      <c r="N9" s="5"/>
      <c r="O9" s="16"/>
      <c r="P9" s="5"/>
    </row>
    <row r="10" spans="1:19" x14ac:dyDescent="0.2">
      <c r="A10" s="12"/>
      <c r="B10" s="13"/>
      <c r="C10" s="12"/>
      <c r="D10" s="13"/>
      <c r="E10" s="12"/>
      <c r="F10" s="13"/>
      <c r="G10" s="12"/>
      <c r="H10" s="13"/>
      <c r="I10" s="12"/>
      <c r="J10" s="13"/>
      <c r="K10" s="12"/>
      <c r="L10" s="13"/>
      <c r="M10" s="12"/>
      <c r="N10" s="13"/>
      <c r="O10" s="12"/>
      <c r="P10" s="13"/>
    </row>
    <row r="11" spans="1:19" x14ac:dyDescent="0.2">
      <c r="A11" s="14" t="s">
        <v>14</v>
      </c>
      <c r="B11" s="15">
        <f>SUM(B2:B7)</f>
        <v>19</v>
      </c>
      <c r="C11" s="14" t="s">
        <v>14</v>
      </c>
      <c r="D11" s="15">
        <f>SUM(D2:D8)</f>
        <v>21</v>
      </c>
      <c r="E11" s="14" t="s">
        <v>14</v>
      </c>
      <c r="F11" s="15">
        <f>SUM(F2:F8)</f>
        <v>19</v>
      </c>
      <c r="G11" s="14" t="s">
        <v>14</v>
      </c>
      <c r="H11" s="15">
        <f>SUM(H2:H9)</f>
        <v>23</v>
      </c>
      <c r="I11" s="14" t="s">
        <v>14</v>
      </c>
      <c r="J11" s="15">
        <f>SUM(J2:J9)</f>
        <v>19</v>
      </c>
      <c r="K11" s="14" t="s">
        <v>14</v>
      </c>
      <c r="L11" s="15">
        <f>SUM(L2:L9)</f>
        <v>15</v>
      </c>
      <c r="M11" s="14" t="s">
        <v>14</v>
      </c>
      <c r="N11" s="15">
        <f>SUM(N2:N9)</f>
        <v>15</v>
      </c>
      <c r="O11" s="14" t="s">
        <v>14</v>
      </c>
      <c r="P11" s="15">
        <f>SUM(P2:P9)</f>
        <v>3</v>
      </c>
    </row>
    <row r="13" spans="1:19" x14ac:dyDescent="0.2">
      <c r="B13" s="8">
        <f>B2*16</f>
        <v>64</v>
      </c>
      <c r="D13" s="8">
        <f>D2*16</f>
        <v>48</v>
      </c>
      <c r="F13" s="8">
        <f>F2*16</f>
        <v>48</v>
      </c>
      <c r="H13" s="8">
        <f>H2*16</f>
        <v>48</v>
      </c>
      <c r="J13" s="8">
        <f>J2*16</f>
        <v>96</v>
      </c>
      <c r="L13" s="8">
        <f>L2*16</f>
        <v>48</v>
      </c>
      <c r="N13" s="8">
        <f>N2*16</f>
        <v>96</v>
      </c>
      <c r="P13" s="8">
        <f>P2*16</f>
        <v>48</v>
      </c>
      <c r="R13" s="4" t="s">
        <v>51</v>
      </c>
      <c r="S13" s="8">
        <f>B22+D22+F22+H22+J22+L22+N22+P22</f>
        <v>2144</v>
      </c>
    </row>
    <row r="14" spans="1:19" x14ac:dyDescent="0.2">
      <c r="B14" s="8">
        <f t="shared" ref="B14:B17" si="0">B3*16</f>
        <v>48</v>
      </c>
      <c r="D14" s="8">
        <f t="shared" ref="D14" si="1">D3*16</f>
        <v>48</v>
      </c>
      <c r="F14" s="8">
        <f t="shared" ref="F14" si="2">F3*16</f>
        <v>48</v>
      </c>
      <c r="H14" s="8">
        <f t="shared" ref="H14" si="3">H3*16</f>
        <v>48</v>
      </c>
      <c r="J14" s="8">
        <f t="shared" ref="J14" si="4">J3*16</f>
        <v>64</v>
      </c>
      <c r="L14" s="8">
        <f t="shared" ref="L14" si="5">L3*16</f>
        <v>48</v>
      </c>
      <c r="N14" s="8">
        <f t="shared" ref="N14" si="6">N3*16</f>
        <v>48</v>
      </c>
      <c r="P14" s="8">
        <f t="shared" ref="P14" si="7">P3*16</f>
        <v>0</v>
      </c>
      <c r="R14" s="4" t="s">
        <v>52</v>
      </c>
    </row>
    <row r="15" spans="1:19" x14ac:dyDescent="0.2">
      <c r="B15" s="8">
        <f t="shared" si="0"/>
        <v>48</v>
      </c>
      <c r="D15" s="8">
        <f t="shared" ref="D15" si="8">D4*16</f>
        <v>48</v>
      </c>
      <c r="F15" s="8">
        <f t="shared" ref="F15" si="9">F4*16</f>
        <v>32</v>
      </c>
      <c r="H15" s="8">
        <f t="shared" ref="H15" si="10">H4*16</f>
        <v>48</v>
      </c>
      <c r="J15" s="8">
        <f t="shared" ref="J15" si="11">J4*16</f>
        <v>48</v>
      </c>
      <c r="L15" s="8">
        <f t="shared" ref="L15" si="12">L4*16</f>
        <v>48</v>
      </c>
      <c r="N15" s="8">
        <f t="shared" ref="N15" si="13">N4*16</f>
        <v>48</v>
      </c>
      <c r="P15" s="8">
        <f t="shared" ref="P15" si="14">P4*16</f>
        <v>0</v>
      </c>
    </row>
    <row r="16" spans="1:19" x14ac:dyDescent="0.2">
      <c r="B16" s="8">
        <f t="shared" si="0"/>
        <v>48</v>
      </c>
      <c r="D16" s="8">
        <f t="shared" ref="D16" si="15">D5*16</f>
        <v>48</v>
      </c>
      <c r="F16" s="8">
        <f t="shared" ref="F16" si="16">F5*16</f>
        <v>64</v>
      </c>
      <c r="H16" s="8">
        <f t="shared" ref="H16" si="17">H5*16</f>
        <v>48</v>
      </c>
      <c r="J16" s="8">
        <f t="shared" ref="J16" si="18">J5*16</f>
        <v>48</v>
      </c>
      <c r="L16" s="8">
        <f t="shared" ref="L16" si="19">L5*16</f>
        <v>48</v>
      </c>
      <c r="N16" s="8">
        <f t="shared" ref="N16" si="20">N5*16</f>
        <v>48</v>
      </c>
      <c r="P16" s="8">
        <f t="shared" ref="P16" si="21">P5*16</f>
        <v>0</v>
      </c>
    </row>
    <row r="17" spans="2:19" x14ac:dyDescent="0.2">
      <c r="B17" s="8">
        <f t="shared" si="0"/>
        <v>48</v>
      </c>
      <c r="D17" s="8">
        <f t="shared" ref="D17" si="22">D6*16</f>
        <v>48</v>
      </c>
      <c r="F17" s="8">
        <f t="shared" ref="F17" si="23">F6*16</f>
        <v>32</v>
      </c>
      <c r="H17" s="8">
        <f t="shared" ref="H17" si="24">H6*16</f>
        <v>48</v>
      </c>
      <c r="J17" s="8">
        <f t="shared" ref="J17" si="25">J6*16</f>
        <v>48</v>
      </c>
      <c r="L17" s="8">
        <f t="shared" ref="L17" si="26">L6*16</f>
        <v>48</v>
      </c>
      <c r="N17" s="8">
        <f t="shared" ref="N17" si="27">N6*16</f>
        <v>0</v>
      </c>
      <c r="P17" s="8">
        <f t="shared" ref="P17" si="28">P6*16</f>
        <v>0</v>
      </c>
    </row>
    <row r="18" spans="2:19" x14ac:dyDescent="0.2">
      <c r="B18" s="8">
        <f>B7*16</f>
        <v>48</v>
      </c>
      <c r="D18" s="8">
        <f>D7*16</f>
        <v>48</v>
      </c>
      <c r="F18" s="8">
        <f>F7*16</f>
        <v>32</v>
      </c>
      <c r="H18" s="8">
        <f>H7*16</f>
        <v>48</v>
      </c>
      <c r="J18" s="8">
        <f>J7*16</f>
        <v>0</v>
      </c>
      <c r="L18" s="8">
        <f>L7*16</f>
        <v>0</v>
      </c>
      <c r="N18" s="8">
        <f>N7*16</f>
        <v>0</v>
      </c>
      <c r="P18" s="8">
        <f>P7*16</f>
        <v>0</v>
      </c>
    </row>
    <row r="19" spans="2:19" x14ac:dyDescent="0.2">
      <c r="B19" s="8">
        <f>B8*16</f>
        <v>0</v>
      </c>
      <c r="D19" s="8">
        <f>D8*16</f>
        <v>48</v>
      </c>
      <c r="F19" s="8">
        <f>F8*16</f>
        <v>48</v>
      </c>
      <c r="H19" s="8">
        <f>H8*16</f>
        <v>48</v>
      </c>
      <c r="J19" s="8">
        <f>J8*16</f>
        <v>0</v>
      </c>
      <c r="L19" s="8">
        <f>L8*16</f>
        <v>0</v>
      </c>
      <c r="N19" s="8">
        <f>N8*16</f>
        <v>0</v>
      </c>
      <c r="P19" s="8">
        <f>P8*16</f>
        <v>0</v>
      </c>
    </row>
    <row r="20" spans="2:19" x14ac:dyDescent="0.2">
      <c r="B20" s="8">
        <f>B9*16</f>
        <v>0</v>
      </c>
      <c r="D20" s="8">
        <f>D9*16</f>
        <v>0</v>
      </c>
      <c r="F20" s="8">
        <f>F9*16</f>
        <v>0</v>
      </c>
      <c r="H20" s="8">
        <f>H9*16</f>
        <v>32</v>
      </c>
      <c r="J20" s="8">
        <f>J9*16</f>
        <v>0</v>
      </c>
      <c r="L20" s="8">
        <f>L9*16</f>
        <v>0</v>
      </c>
      <c r="N20" s="8">
        <f>N9*16</f>
        <v>0</v>
      </c>
      <c r="P20" s="8">
        <f>P9*16</f>
        <v>0</v>
      </c>
    </row>
    <row r="21" spans="2:19" x14ac:dyDescent="0.2">
      <c r="B21" s="4"/>
      <c r="D21" s="4"/>
      <c r="F21" s="4"/>
      <c r="H21" s="4"/>
      <c r="J21" s="4"/>
      <c r="L21" s="4"/>
      <c r="N21" s="4"/>
      <c r="P21" s="4"/>
    </row>
    <row r="22" spans="2:19" x14ac:dyDescent="0.2">
      <c r="B22" s="8">
        <f>SUM(B13:B20)</f>
        <v>304</v>
      </c>
      <c r="D22" s="8">
        <f>SUM(D13:D20)</f>
        <v>336</v>
      </c>
      <c r="F22" s="8">
        <f>SUM(F13:F20)</f>
        <v>304</v>
      </c>
      <c r="H22" s="8">
        <f>SUM(H13:H20)</f>
        <v>368</v>
      </c>
      <c r="J22" s="8">
        <f>SUM(J13:J20)</f>
        <v>304</v>
      </c>
      <c r="L22" s="8">
        <f>SUM(L13:L20)</f>
        <v>240</v>
      </c>
      <c r="N22" s="8">
        <f>SUM(N13:N20)</f>
        <v>240</v>
      </c>
      <c r="P22" s="8">
        <f>SUM(P13:P20)</f>
        <v>48</v>
      </c>
    </row>
    <row r="23" spans="2:19" x14ac:dyDescent="0.2">
      <c r="B23" s="4"/>
      <c r="R23" s="31" t="s">
        <v>53</v>
      </c>
      <c r="S23" s="31"/>
    </row>
    <row r="24" spans="2:19" x14ac:dyDescent="0.2">
      <c r="R24" s="8">
        <v>20</v>
      </c>
      <c r="S24" s="4" t="s">
        <v>22</v>
      </c>
    </row>
    <row r="25" spans="2:19" x14ac:dyDescent="0.2">
      <c r="J25" s="4"/>
      <c r="R25" s="8">
        <f>5*5</f>
        <v>25</v>
      </c>
      <c r="S25" s="4" t="s">
        <v>23</v>
      </c>
    </row>
    <row r="26" spans="2:19" x14ac:dyDescent="0.2">
      <c r="J26" s="4"/>
    </row>
  </sheetData>
  <mergeCells count="1">
    <mergeCell ref="R23:S2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BBA4-D2BC-4956-A835-6771C7827FAC}">
  <dimension ref="A1:Y32"/>
  <sheetViews>
    <sheetView zoomScaleNormal="100" workbookViewId="0">
      <selection activeCell="D27" sqref="D27"/>
    </sheetView>
  </sheetViews>
  <sheetFormatPr defaultRowHeight="12.75" x14ac:dyDescent="0.2"/>
  <cols>
    <col min="1" max="1" width="18.5703125" style="4" customWidth="1"/>
    <col min="2" max="2" width="5.7109375" style="8" customWidth="1"/>
    <col min="3" max="3" width="18.5703125" style="4" customWidth="1"/>
    <col min="4" max="4" width="5.7109375" style="8" customWidth="1"/>
    <col min="5" max="5" width="18.5703125" style="4" customWidth="1"/>
    <col min="6" max="6" width="5.7109375" style="8" customWidth="1"/>
    <col min="7" max="7" width="18.5703125" style="4" customWidth="1"/>
    <col min="8" max="8" width="5.7109375" style="8" customWidth="1"/>
    <col min="9" max="9" width="18.5703125" style="4" customWidth="1"/>
    <col min="10" max="10" width="5.7109375" style="8" customWidth="1"/>
    <col min="11" max="11" width="18.5703125" style="4" customWidth="1"/>
    <col min="12" max="12" width="5.7109375" style="8" customWidth="1"/>
    <col min="13" max="13" width="18.5703125" style="4" customWidth="1"/>
    <col min="14" max="14" width="5.7109375" style="8" customWidth="1"/>
    <col min="15" max="15" width="18.5703125" style="4" customWidth="1"/>
    <col min="16" max="16" width="5.7109375" style="8" customWidth="1"/>
    <col min="17" max="17" width="2.5703125" style="4" customWidth="1"/>
    <col min="18" max="18" width="36.28515625" style="4" bestFit="1" customWidth="1"/>
    <col min="19" max="19" width="15" style="4" bestFit="1" customWidth="1"/>
    <col min="20" max="20" width="17.42578125" style="4" bestFit="1" customWidth="1"/>
    <col min="21" max="21" width="10.42578125" style="4" bestFit="1" customWidth="1"/>
    <col min="22" max="22" width="20.28515625" style="4" bestFit="1" customWidth="1"/>
    <col min="23" max="23" width="2.28515625" style="4" bestFit="1" customWidth="1"/>
    <col min="24" max="16384" width="9.140625" style="4"/>
  </cols>
  <sheetData>
    <row r="1" spans="1:25" x14ac:dyDescent="0.2">
      <c r="A1" s="1" t="s">
        <v>0</v>
      </c>
      <c r="B1" s="2" t="s">
        <v>1</v>
      </c>
      <c r="C1" s="3" t="s">
        <v>2</v>
      </c>
      <c r="D1" s="2" t="s">
        <v>1</v>
      </c>
      <c r="E1" s="1" t="s">
        <v>3</v>
      </c>
      <c r="F1" s="2" t="s">
        <v>1</v>
      </c>
      <c r="G1" s="1" t="s">
        <v>4</v>
      </c>
      <c r="H1" s="2" t="s">
        <v>1</v>
      </c>
      <c r="I1" s="1" t="s">
        <v>5</v>
      </c>
      <c r="J1" s="2" t="s">
        <v>1</v>
      </c>
      <c r="K1" s="1" t="s">
        <v>6</v>
      </c>
      <c r="L1" s="2" t="s">
        <v>1</v>
      </c>
      <c r="M1" s="1" t="s">
        <v>7</v>
      </c>
      <c r="N1" s="2" t="s">
        <v>1</v>
      </c>
      <c r="O1" s="1" t="s">
        <v>8</v>
      </c>
      <c r="P1" s="2" t="s">
        <v>1</v>
      </c>
    </row>
    <row r="2" spans="1:25" ht="25.5" x14ac:dyDescent="0.2">
      <c r="A2" s="16" t="s">
        <v>9</v>
      </c>
      <c r="B2" s="5">
        <v>4</v>
      </c>
      <c r="C2" s="16" t="s">
        <v>15</v>
      </c>
      <c r="D2" s="5">
        <v>3</v>
      </c>
      <c r="E2" s="16" t="s">
        <v>19</v>
      </c>
      <c r="F2" s="6">
        <v>3</v>
      </c>
      <c r="G2" s="21" t="s">
        <v>56</v>
      </c>
      <c r="H2" s="24">
        <v>6</v>
      </c>
      <c r="I2" s="21" t="s">
        <v>44</v>
      </c>
      <c r="J2" s="24">
        <v>3</v>
      </c>
      <c r="K2" s="29" t="s">
        <v>57</v>
      </c>
      <c r="L2" s="24">
        <v>6</v>
      </c>
      <c r="M2" s="43" t="s">
        <v>82</v>
      </c>
      <c r="N2" s="42">
        <v>12</v>
      </c>
      <c r="O2" s="32" t="s">
        <v>84</v>
      </c>
      <c r="P2" s="32"/>
    </row>
    <row r="3" spans="1:25" ht="38.25" x14ac:dyDescent="0.2">
      <c r="A3" s="16" t="s">
        <v>10</v>
      </c>
      <c r="B3" s="5">
        <v>3</v>
      </c>
      <c r="C3" s="16" t="s">
        <v>30</v>
      </c>
      <c r="D3" s="5">
        <v>3</v>
      </c>
      <c r="E3" s="16" t="s">
        <v>54</v>
      </c>
      <c r="F3" s="6">
        <v>3</v>
      </c>
      <c r="G3" s="16" t="s">
        <v>55</v>
      </c>
      <c r="H3" s="7">
        <v>3</v>
      </c>
      <c r="I3" s="16" t="s">
        <v>28</v>
      </c>
      <c r="J3" s="5">
        <v>4</v>
      </c>
      <c r="K3" s="21" t="s">
        <v>18</v>
      </c>
      <c r="L3" s="24">
        <v>3</v>
      </c>
      <c r="M3" s="43"/>
      <c r="N3" s="42"/>
      <c r="O3" s="41"/>
      <c r="P3" s="41"/>
      <c r="S3" s="18"/>
      <c r="T3" s="30"/>
      <c r="U3" s="18"/>
      <c r="V3" s="30"/>
    </row>
    <row r="4" spans="1:25" ht="25.5" x14ac:dyDescent="0.2">
      <c r="A4" s="16" t="s">
        <v>11</v>
      </c>
      <c r="B4" s="5">
        <v>3</v>
      </c>
      <c r="C4" s="21" t="s">
        <v>39</v>
      </c>
      <c r="D4" s="23">
        <v>2</v>
      </c>
      <c r="E4" s="17" t="s">
        <v>20</v>
      </c>
      <c r="F4" s="10">
        <v>4</v>
      </c>
      <c r="G4" s="17" t="s">
        <v>34</v>
      </c>
      <c r="H4" s="11">
        <v>3</v>
      </c>
      <c r="I4" s="17" t="s">
        <v>25</v>
      </c>
      <c r="J4" s="5">
        <v>3</v>
      </c>
      <c r="K4" s="21" t="s">
        <v>48</v>
      </c>
      <c r="L4" s="24">
        <v>3</v>
      </c>
      <c r="M4" s="43"/>
      <c r="N4" s="42"/>
      <c r="O4" s="41"/>
      <c r="P4" s="41"/>
      <c r="U4" s="18"/>
      <c r="V4" s="30"/>
      <c r="X4" s="18"/>
      <c r="Y4" s="30"/>
    </row>
    <row r="5" spans="1:25" ht="38.25" x14ac:dyDescent="0.2">
      <c r="A5" s="17" t="s">
        <v>12</v>
      </c>
      <c r="B5" s="9">
        <v>3</v>
      </c>
      <c r="C5" s="17" t="s">
        <v>17</v>
      </c>
      <c r="D5" s="9">
        <v>3</v>
      </c>
      <c r="E5" s="16" t="s">
        <v>41</v>
      </c>
      <c r="F5" s="5">
        <v>2</v>
      </c>
      <c r="G5" s="21" t="s">
        <v>43</v>
      </c>
      <c r="H5" s="24">
        <v>3</v>
      </c>
      <c r="I5" s="21" t="s">
        <v>49</v>
      </c>
      <c r="J5" s="24">
        <v>3</v>
      </c>
      <c r="K5" s="21" t="s">
        <v>47</v>
      </c>
      <c r="L5" s="24">
        <v>3</v>
      </c>
      <c r="M5" s="43"/>
      <c r="N5" s="42"/>
      <c r="O5" s="41"/>
      <c r="P5" s="41"/>
      <c r="S5" s="18">
        <f>160/16</f>
        <v>10</v>
      </c>
      <c r="T5" s="30"/>
    </row>
    <row r="6" spans="1:25" ht="38.25" x14ac:dyDescent="0.2">
      <c r="A6" s="16" t="s">
        <v>13</v>
      </c>
      <c r="B6" s="5">
        <v>3</v>
      </c>
      <c r="C6" s="16" t="s">
        <v>16</v>
      </c>
      <c r="D6" s="5">
        <v>3</v>
      </c>
      <c r="E6" s="16" t="s">
        <v>21</v>
      </c>
      <c r="F6" s="5">
        <v>3</v>
      </c>
      <c r="G6" s="16" t="s">
        <v>33</v>
      </c>
      <c r="H6" s="7">
        <v>3</v>
      </c>
      <c r="I6" s="16" t="s">
        <v>26</v>
      </c>
      <c r="J6" s="5">
        <v>3</v>
      </c>
      <c r="K6" s="21" t="s">
        <v>27</v>
      </c>
      <c r="L6" s="24">
        <v>3</v>
      </c>
      <c r="M6" s="43"/>
      <c r="N6" s="42"/>
      <c r="O6" s="41"/>
      <c r="P6" s="41"/>
      <c r="S6" s="18">
        <f>64*2</f>
        <v>128</v>
      </c>
      <c r="T6" s="30"/>
    </row>
    <row r="7" spans="1:25" ht="38.25" x14ac:dyDescent="0.2">
      <c r="A7" s="16" t="s">
        <v>29</v>
      </c>
      <c r="B7" s="5">
        <v>3</v>
      </c>
      <c r="C7" s="21" t="s">
        <v>45</v>
      </c>
      <c r="D7" s="22">
        <v>3</v>
      </c>
      <c r="E7" s="16" t="s">
        <v>40</v>
      </c>
      <c r="F7" s="5">
        <v>2</v>
      </c>
      <c r="G7" s="16" t="s">
        <v>35</v>
      </c>
      <c r="H7" s="5">
        <v>3</v>
      </c>
      <c r="I7" s="21" t="s">
        <v>37</v>
      </c>
      <c r="J7" s="24">
        <v>3</v>
      </c>
      <c r="K7" s="21" t="s">
        <v>36</v>
      </c>
      <c r="L7" s="24">
        <v>3</v>
      </c>
      <c r="M7" s="16" t="s">
        <v>80</v>
      </c>
      <c r="N7" s="5">
        <v>3</v>
      </c>
      <c r="O7" s="33"/>
      <c r="P7" s="33"/>
      <c r="S7" s="18">
        <f>360</f>
        <v>360</v>
      </c>
      <c r="T7" s="30">
        <f>S7+S6</f>
        <v>488</v>
      </c>
    </row>
    <row r="8" spans="1:25" ht="38.25" x14ac:dyDescent="0.2">
      <c r="A8" s="16"/>
      <c r="B8" s="5"/>
      <c r="C8" s="16" t="s">
        <v>38</v>
      </c>
      <c r="D8" s="5">
        <v>2</v>
      </c>
      <c r="E8" s="21" t="s">
        <v>32</v>
      </c>
      <c r="F8" s="24">
        <v>3</v>
      </c>
      <c r="G8" s="16" t="s">
        <v>24</v>
      </c>
      <c r="H8" s="5">
        <v>3</v>
      </c>
      <c r="I8" s="16" t="s">
        <v>42</v>
      </c>
      <c r="J8" s="5">
        <v>3</v>
      </c>
      <c r="K8" s="16" t="s">
        <v>46</v>
      </c>
      <c r="L8" s="5">
        <v>3</v>
      </c>
      <c r="M8" s="38" t="s">
        <v>81</v>
      </c>
      <c r="N8" s="38">
        <v>180</v>
      </c>
      <c r="O8" s="5" t="s">
        <v>83</v>
      </c>
      <c r="P8" s="5">
        <v>180</v>
      </c>
      <c r="S8" s="18"/>
      <c r="T8" s="30"/>
    </row>
    <row r="9" spans="1:25" x14ac:dyDescent="0.2">
      <c r="A9" s="25"/>
      <c r="B9" s="26"/>
      <c r="C9" s="25"/>
      <c r="D9" s="26"/>
      <c r="E9" s="25"/>
      <c r="F9" s="26"/>
      <c r="G9" s="25"/>
      <c r="H9" s="26"/>
      <c r="I9" s="25"/>
      <c r="J9" s="26"/>
      <c r="K9" s="25"/>
      <c r="L9" s="26"/>
      <c r="M9" s="25"/>
      <c r="N9" s="26"/>
      <c r="O9" s="25"/>
      <c r="P9" s="26"/>
    </row>
    <row r="10" spans="1:25" x14ac:dyDescent="0.2">
      <c r="A10" s="27"/>
      <c r="B10" s="28"/>
      <c r="C10" s="27"/>
      <c r="D10" s="28"/>
      <c r="E10" s="27"/>
      <c r="F10" s="28"/>
      <c r="G10" s="27"/>
      <c r="H10" s="28"/>
      <c r="I10" s="27"/>
      <c r="J10" s="28"/>
      <c r="K10" s="27"/>
      <c r="L10" s="28"/>
      <c r="M10" s="27"/>
      <c r="N10" s="28"/>
      <c r="O10" s="27"/>
      <c r="P10" s="28"/>
    </row>
    <row r="11" spans="1:25" ht="12.75" customHeight="1" x14ac:dyDescent="0.2">
      <c r="A11" s="14" t="s">
        <v>14</v>
      </c>
      <c r="B11" s="15">
        <f>SUM(B2:B7)</f>
        <v>19</v>
      </c>
      <c r="C11" s="14" t="s">
        <v>14</v>
      </c>
      <c r="D11" s="15">
        <f>SUM(D2:D8)</f>
        <v>19</v>
      </c>
      <c r="E11" s="14" t="s">
        <v>14</v>
      </c>
      <c r="F11" s="15">
        <f>SUM(F2:F8)</f>
        <v>20</v>
      </c>
      <c r="G11" s="14" t="s">
        <v>14</v>
      </c>
      <c r="H11" s="15">
        <f>SUM(H2:H9)</f>
        <v>24</v>
      </c>
      <c r="I11" s="14" t="s">
        <v>14</v>
      </c>
      <c r="J11" s="15">
        <f>SUM(J2:J9)</f>
        <v>22</v>
      </c>
      <c r="K11" s="14" t="s">
        <v>14</v>
      </c>
      <c r="L11" s="15">
        <f>SUM(L2:L9)</f>
        <v>24</v>
      </c>
      <c r="M11" s="14" t="s">
        <v>14</v>
      </c>
      <c r="N11" s="15">
        <f>N7+N2</f>
        <v>15</v>
      </c>
      <c r="O11" s="14" t="s">
        <v>14</v>
      </c>
      <c r="P11" s="15"/>
    </row>
    <row r="12" spans="1:25" ht="12.75" customHeight="1" x14ac:dyDescent="0.2">
      <c r="R12" s="46" t="s">
        <v>86</v>
      </c>
      <c r="S12" s="47" t="s">
        <v>89</v>
      </c>
      <c r="T12" s="47" t="s">
        <v>90</v>
      </c>
      <c r="U12" s="47" t="s">
        <v>104</v>
      </c>
    </row>
    <row r="13" spans="1:25" ht="12.75" customHeight="1" x14ac:dyDescent="0.2">
      <c r="B13" s="8">
        <f>B2*16</f>
        <v>64</v>
      </c>
      <c r="D13" s="8">
        <f>D2*16</f>
        <v>48</v>
      </c>
      <c r="F13" s="8">
        <f>F2*16</f>
        <v>48</v>
      </c>
      <c r="H13" s="8">
        <f>H2*16</f>
        <v>96</v>
      </c>
      <c r="J13" s="8">
        <f>J2*16</f>
        <v>48</v>
      </c>
      <c r="L13" s="8">
        <f>L2*16</f>
        <v>96</v>
      </c>
      <c r="N13" s="8">
        <f>N2*16</f>
        <v>192</v>
      </c>
      <c r="Q13" s="20" t="s">
        <v>94</v>
      </c>
      <c r="R13" s="45" t="s">
        <v>51</v>
      </c>
      <c r="S13" s="15">
        <f>B22+D22+F22+H22+J22+L22</f>
        <v>2048</v>
      </c>
      <c r="T13" s="49">
        <f>5/6*S13</f>
        <v>1706.6666666666667</v>
      </c>
      <c r="U13" s="53">
        <f>T13/$T$21</f>
        <v>0.53112033195020747</v>
      </c>
      <c r="V13" s="4" t="s">
        <v>58</v>
      </c>
    </row>
    <row r="14" spans="1:25" ht="12.75" customHeight="1" x14ac:dyDescent="0.2">
      <c r="B14" s="8">
        <f t="shared" ref="B14:B17" si="0">B3*16</f>
        <v>48</v>
      </c>
      <c r="D14" s="8">
        <f t="shared" ref="D14" si="1">D3*16</f>
        <v>48</v>
      </c>
      <c r="F14" s="8">
        <f t="shared" ref="F14" si="2">F3*16</f>
        <v>48</v>
      </c>
      <c r="H14" s="8">
        <f t="shared" ref="H14" si="3">H3*16</f>
        <v>48</v>
      </c>
      <c r="J14" s="8">
        <f t="shared" ref="J14" si="4">J3*16</f>
        <v>64</v>
      </c>
      <c r="L14" s="8">
        <f t="shared" ref="L14" si="5">L3*16</f>
        <v>48</v>
      </c>
      <c r="N14" s="8">
        <f>N3*16</f>
        <v>0</v>
      </c>
      <c r="Q14" s="20" t="s">
        <v>96</v>
      </c>
      <c r="R14" s="45" t="s">
        <v>52</v>
      </c>
      <c r="S14" s="15">
        <f>N22</f>
        <v>240</v>
      </c>
      <c r="T14" s="49">
        <f t="shared" ref="T14:T18" si="6">5/6*S14</f>
        <v>200</v>
      </c>
      <c r="U14" s="53">
        <f t="shared" ref="U14:U21" si="7">T14/$T$21</f>
        <v>6.2240663900414932E-2</v>
      </c>
      <c r="V14" s="7" t="s">
        <v>38</v>
      </c>
      <c r="W14" s="5">
        <v>2</v>
      </c>
    </row>
    <row r="15" spans="1:25" ht="12.75" customHeight="1" x14ac:dyDescent="0.2">
      <c r="B15" s="8">
        <f t="shared" si="0"/>
        <v>48</v>
      </c>
      <c r="D15" s="8">
        <f t="shared" ref="D15" si="8">D4*16</f>
        <v>32</v>
      </c>
      <c r="F15" s="8">
        <f t="shared" ref="F15" si="9">F4*16</f>
        <v>64</v>
      </c>
      <c r="H15" s="8">
        <f t="shared" ref="H15" si="10">H4*16</f>
        <v>48</v>
      </c>
      <c r="J15" s="8">
        <f t="shared" ref="J15" si="11">J4*16</f>
        <v>48</v>
      </c>
      <c r="L15" s="8">
        <f t="shared" ref="L15" si="12">L4*16</f>
        <v>48</v>
      </c>
      <c r="N15" s="8">
        <f t="shared" ref="N15" si="13">N4*16</f>
        <v>0</v>
      </c>
      <c r="Q15" s="20" t="s">
        <v>97</v>
      </c>
      <c r="R15" s="45" t="s">
        <v>85</v>
      </c>
      <c r="S15" s="15">
        <f>S13+S14</f>
        <v>2288</v>
      </c>
      <c r="T15" s="49">
        <f t="shared" si="6"/>
        <v>1906.6666666666667</v>
      </c>
      <c r="U15" s="53">
        <f t="shared" si="7"/>
        <v>0.59336099585062241</v>
      </c>
      <c r="V15" s="52"/>
      <c r="W15" s="20"/>
    </row>
    <row r="16" spans="1:25" ht="12.75" customHeight="1" x14ac:dyDescent="0.2">
      <c r="B16" s="8">
        <f t="shared" si="0"/>
        <v>48</v>
      </c>
      <c r="D16" s="8">
        <f t="shared" ref="D16" si="14">D5*16</f>
        <v>48</v>
      </c>
      <c r="F16" s="8">
        <f t="shared" ref="F16" si="15">F5*16</f>
        <v>32</v>
      </c>
      <c r="H16" s="8">
        <f t="shared" ref="H16" si="16">H5*16</f>
        <v>48</v>
      </c>
      <c r="J16" s="8">
        <f t="shared" ref="J16" si="17">J5*16</f>
        <v>48</v>
      </c>
      <c r="L16" s="8">
        <f t="shared" ref="L16" si="18">L5*16</f>
        <v>48</v>
      </c>
      <c r="N16" s="8">
        <f>N5*16</f>
        <v>0</v>
      </c>
      <c r="Q16" s="20" t="s">
        <v>95</v>
      </c>
      <c r="R16" s="45" t="s">
        <v>87</v>
      </c>
      <c r="S16" s="15">
        <f>16*(H2+L2+N2+D8+F8+H8+J8+J7+L7)</f>
        <v>656</v>
      </c>
      <c r="T16" s="49">
        <f t="shared" si="6"/>
        <v>546.66666666666674</v>
      </c>
      <c r="U16" s="53">
        <f t="shared" si="7"/>
        <v>0.17012448132780084</v>
      </c>
    </row>
    <row r="17" spans="2:23" ht="12.75" customHeight="1" x14ac:dyDescent="0.2">
      <c r="B17" s="8">
        <f t="shared" si="0"/>
        <v>48</v>
      </c>
      <c r="D17" s="8">
        <f t="shared" ref="D17" si="19">D6*16</f>
        <v>48</v>
      </c>
      <c r="F17" s="8">
        <f t="shared" ref="F17" si="20">F6*16</f>
        <v>48</v>
      </c>
      <c r="H17" s="8">
        <f t="shared" ref="H17" si="21">H6*16</f>
        <v>48</v>
      </c>
      <c r="J17" s="8">
        <f t="shared" ref="J17" si="22">J6*16</f>
        <v>48</v>
      </c>
      <c r="L17" s="8">
        <f t="shared" ref="L17" si="23">L6*16</f>
        <v>48</v>
      </c>
      <c r="N17" s="8">
        <f t="shared" ref="N17" si="24">N6*16</f>
        <v>0</v>
      </c>
      <c r="Q17" s="20" t="s">
        <v>98</v>
      </c>
      <c r="R17" s="45" t="s">
        <v>84</v>
      </c>
      <c r="S17" s="15">
        <v>320</v>
      </c>
      <c r="T17" s="49">
        <f t="shared" si="6"/>
        <v>266.66666666666669</v>
      </c>
      <c r="U17" s="53">
        <f t="shared" si="7"/>
        <v>8.2987551867219914E-2</v>
      </c>
    </row>
    <row r="18" spans="2:23" ht="12.75" customHeight="1" x14ac:dyDescent="0.2">
      <c r="B18" s="8">
        <f>B7*16</f>
        <v>48</v>
      </c>
      <c r="D18" s="8">
        <f>D7*16</f>
        <v>48</v>
      </c>
      <c r="F18" s="8">
        <f>F7*16</f>
        <v>32</v>
      </c>
      <c r="H18" s="8">
        <f>H7*16</f>
        <v>48</v>
      </c>
      <c r="J18" s="8">
        <f>J7*16</f>
        <v>48</v>
      </c>
      <c r="L18" s="8">
        <f>L7*16</f>
        <v>48</v>
      </c>
      <c r="N18" s="8">
        <f>N7*16</f>
        <v>48</v>
      </c>
      <c r="Q18" s="20" t="s">
        <v>99</v>
      </c>
      <c r="R18" s="45" t="s">
        <v>88</v>
      </c>
      <c r="S18" s="15">
        <f>N8+P8</f>
        <v>360</v>
      </c>
      <c r="T18" s="49">
        <f t="shared" si="6"/>
        <v>300</v>
      </c>
      <c r="U18" s="53">
        <f t="shared" si="7"/>
        <v>9.3360995850622408E-2</v>
      </c>
      <c r="V18" s="18"/>
      <c r="W18" s="30"/>
    </row>
    <row r="19" spans="2:23" ht="12.75" customHeight="1" x14ac:dyDescent="0.2">
      <c r="B19" s="8">
        <f>B8*16</f>
        <v>0</v>
      </c>
      <c r="D19" s="8">
        <f>D8*16</f>
        <v>32</v>
      </c>
      <c r="F19" s="8">
        <f>F8*16</f>
        <v>48</v>
      </c>
      <c r="H19" s="8">
        <f>H8*16</f>
        <v>48</v>
      </c>
      <c r="J19" s="8">
        <f>J8*16</f>
        <v>48</v>
      </c>
      <c r="L19" s="8">
        <f>L8*16</f>
        <v>48</v>
      </c>
      <c r="Q19" s="20" t="s">
        <v>100</v>
      </c>
      <c r="R19" s="14" t="s">
        <v>92</v>
      </c>
      <c r="S19" s="20">
        <v>488</v>
      </c>
      <c r="T19" s="54">
        <f>5/6*S19</f>
        <v>406.66666666666669</v>
      </c>
      <c r="U19" s="53">
        <f>T19/$T$21</f>
        <v>0.12655601659751037</v>
      </c>
      <c r="V19" s="18"/>
      <c r="W19" s="30"/>
    </row>
    <row r="20" spans="2:23" ht="12.75" customHeight="1" x14ac:dyDescent="0.2">
      <c r="B20" s="8">
        <f>B9*16</f>
        <v>0</v>
      </c>
      <c r="D20" s="8">
        <f>D9*16</f>
        <v>0</v>
      </c>
      <c r="F20" s="8">
        <f>F9*16</f>
        <v>0</v>
      </c>
      <c r="H20" s="8">
        <f>H9*16</f>
        <v>0</v>
      </c>
      <c r="J20" s="8">
        <f>J9*16</f>
        <v>0</v>
      </c>
      <c r="L20" s="8">
        <f>L9*16</f>
        <v>0</v>
      </c>
      <c r="Q20" s="20" t="s">
        <v>101</v>
      </c>
      <c r="R20" s="14" t="s">
        <v>93</v>
      </c>
      <c r="S20" s="20">
        <v>400</v>
      </c>
      <c r="T20" s="54">
        <f>5/6*S20</f>
        <v>333.33333333333337</v>
      </c>
      <c r="U20" s="53">
        <f t="shared" si="7"/>
        <v>0.1037344398340249</v>
      </c>
      <c r="V20" s="18"/>
      <c r="W20" s="30"/>
    </row>
    <row r="21" spans="2:23" ht="12.75" customHeight="1" x14ac:dyDescent="0.2">
      <c r="B21" s="4"/>
      <c r="D21" s="4"/>
      <c r="F21" s="4"/>
      <c r="H21" s="4"/>
      <c r="J21" s="4"/>
      <c r="L21" s="4"/>
      <c r="N21" s="4"/>
      <c r="P21" s="4"/>
      <c r="R21" s="48" t="s">
        <v>91</v>
      </c>
      <c r="S21" s="48">
        <f>S15+S18+S17+S19+S20</f>
        <v>3856</v>
      </c>
      <c r="T21" s="50">
        <f>T15+T18+T17+T19+T20</f>
        <v>3213.3333333333335</v>
      </c>
      <c r="U21" s="53">
        <f t="shared" si="7"/>
        <v>1</v>
      </c>
      <c r="V21" s="18"/>
      <c r="W21" s="30"/>
    </row>
    <row r="22" spans="2:23" ht="12.75" customHeight="1" x14ac:dyDescent="0.2">
      <c r="B22" s="8">
        <f>SUM(B13:B19)</f>
        <v>304</v>
      </c>
      <c r="D22" s="8">
        <f>SUM(D13:D19)</f>
        <v>304</v>
      </c>
      <c r="F22" s="8">
        <f>SUM(F13:F19)</f>
        <v>320</v>
      </c>
      <c r="H22" s="8">
        <f>SUM(H13:H19)</f>
        <v>384</v>
      </c>
      <c r="J22" s="8">
        <f>SUM(J13:J19)</f>
        <v>352</v>
      </c>
      <c r="L22" s="8">
        <f>SUM(L13:L19)</f>
        <v>384</v>
      </c>
      <c r="N22" s="8">
        <f>SUM(N13:N19)</f>
        <v>240</v>
      </c>
      <c r="T22" s="51"/>
      <c r="V22" s="18"/>
      <c r="W22" s="30"/>
    </row>
    <row r="23" spans="2:23" ht="12.75" customHeight="1" x14ac:dyDescent="0.2">
      <c r="B23" s="4"/>
      <c r="R23" s="44" t="s">
        <v>53</v>
      </c>
      <c r="S23" s="44"/>
    </row>
    <row r="24" spans="2:23" ht="12.75" customHeight="1" x14ac:dyDescent="0.2">
      <c r="R24" s="15">
        <v>20</v>
      </c>
      <c r="S24" s="14" t="s">
        <v>22</v>
      </c>
    </row>
    <row r="25" spans="2:23" ht="12.75" customHeight="1" x14ac:dyDescent="0.2">
      <c r="J25" s="4"/>
      <c r="R25" s="15">
        <f>5*5</f>
        <v>25</v>
      </c>
      <c r="S25" s="14" t="s">
        <v>23</v>
      </c>
    </row>
    <row r="26" spans="2:23" x14ac:dyDescent="0.2">
      <c r="J26" s="4"/>
    </row>
    <row r="27" spans="2:23" x14ac:dyDescent="0.2">
      <c r="K27" s="4">
        <f>159+212</f>
        <v>371</v>
      </c>
    </row>
    <row r="29" spans="2:23" x14ac:dyDescent="0.2">
      <c r="U29" s="4">
        <f>5/6*1968</f>
        <v>1640</v>
      </c>
    </row>
    <row r="32" spans="2:23" x14ac:dyDescent="0.2">
      <c r="S32" s="4">
        <f>1968+384+360</f>
        <v>2712</v>
      </c>
    </row>
  </sheetData>
  <mergeCells count="5">
    <mergeCell ref="O2:O7"/>
    <mergeCell ref="M2:M6"/>
    <mergeCell ref="N2:N6"/>
    <mergeCell ref="R23:S23"/>
    <mergeCell ref="P2:P7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3ABE-1B9E-47A4-93D9-E1D1FDE2573C}">
  <dimension ref="A1:B33"/>
  <sheetViews>
    <sheetView workbookViewId="0">
      <selection activeCell="A5" sqref="A5"/>
    </sheetView>
  </sheetViews>
  <sheetFormatPr defaultRowHeight="15" x14ac:dyDescent="0.25"/>
  <cols>
    <col min="1" max="1" width="91.140625" bestFit="1" customWidth="1"/>
    <col min="2" max="5" width="9.140625" customWidth="1"/>
  </cols>
  <sheetData>
    <row r="1" spans="1:2" x14ac:dyDescent="0.25">
      <c r="A1" s="34" t="s">
        <v>62</v>
      </c>
      <c r="B1" s="34"/>
    </row>
    <row r="2" spans="1:2" x14ac:dyDescent="0.25">
      <c r="A2" s="35" t="s">
        <v>63</v>
      </c>
      <c r="B2" s="35" t="s">
        <v>1</v>
      </c>
    </row>
    <row r="3" spans="1:2" x14ac:dyDescent="0.25">
      <c r="A3" s="36" t="s">
        <v>61</v>
      </c>
      <c r="B3" s="37">
        <v>48</v>
      </c>
    </row>
    <row r="4" spans="1:2" x14ac:dyDescent="0.25">
      <c r="A4" s="36" t="s">
        <v>65</v>
      </c>
      <c r="B4" s="37">
        <v>48</v>
      </c>
    </row>
    <row r="5" spans="1:2" x14ac:dyDescent="0.25">
      <c r="A5" s="36" t="s">
        <v>64</v>
      </c>
      <c r="B5" s="37">
        <v>48</v>
      </c>
    </row>
    <row r="6" spans="1:2" x14ac:dyDescent="0.25">
      <c r="A6" s="36" t="s">
        <v>67</v>
      </c>
      <c r="B6" s="37">
        <v>48</v>
      </c>
    </row>
    <row r="7" spans="1:2" x14ac:dyDescent="0.25">
      <c r="A7" s="36" t="s">
        <v>59</v>
      </c>
      <c r="B7" s="37">
        <v>48</v>
      </c>
    </row>
    <row r="8" spans="1:2" x14ac:dyDescent="0.25">
      <c r="A8" s="36" t="s">
        <v>60</v>
      </c>
      <c r="B8" s="37">
        <v>48</v>
      </c>
    </row>
    <row r="9" spans="1:2" x14ac:dyDescent="0.25">
      <c r="A9" s="39"/>
      <c r="B9" s="39"/>
    </row>
    <row r="10" spans="1:2" x14ac:dyDescent="0.25">
      <c r="A10" s="34" t="s">
        <v>66</v>
      </c>
      <c r="B10" s="34"/>
    </row>
    <row r="11" spans="1:2" x14ac:dyDescent="0.25">
      <c r="A11" s="35" t="s">
        <v>63</v>
      </c>
      <c r="B11" s="35" t="s">
        <v>1</v>
      </c>
    </row>
    <row r="12" spans="1:2" x14ac:dyDescent="0.25">
      <c r="A12" s="36" t="s">
        <v>68</v>
      </c>
      <c r="B12" s="37">
        <v>48</v>
      </c>
    </row>
    <row r="13" spans="1:2" x14ac:dyDescent="0.25">
      <c r="A13" s="36" t="s">
        <v>70</v>
      </c>
      <c r="B13" s="37">
        <v>48</v>
      </c>
    </row>
    <row r="14" spans="1:2" x14ac:dyDescent="0.25">
      <c r="A14" s="36" t="s">
        <v>75</v>
      </c>
      <c r="B14" s="37">
        <v>48</v>
      </c>
    </row>
    <row r="15" spans="1:2" x14ac:dyDescent="0.25">
      <c r="A15" s="36" t="s">
        <v>72</v>
      </c>
      <c r="B15" s="37">
        <v>48</v>
      </c>
    </row>
    <row r="16" spans="1:2" x14ac:dyDescent="0.25">
      <c r="A16" s="36" t="s">
        <v>74</v>
      </c>
      <c r="B16" s="37">
        <v>48</v>
      </c>
    </row>
    <row r="17" spans="1:2" x14ac:dyDescent="0.25">
      <c r="A17" s="36" t="s">
        <v>71</v>
      </c>
      <c r="B17" s="37">
        <v>48</v>
      </c>
    </row>
    <row r="18" spans="1:2" x14ac:dyDescent="0.25">
      <c r="A18" s="40"/>
      <c r="B18" s="40"/>
    </row>
    <row r="19" spans="1:2" x14ac:dyDescent="0.25">
      <c r="A19" s="34" t="s">
        <v>69</v>
      </c>
      <c r="B19" s="34"/>
    </row>
    <row r="20" spans="1:2" x14ac:dyDescent="0.25">
      <c r="A20" s="35" t="s">
        <v>63</v>
      </c>
      <c r="B20" s="35" t="s">
        <v>1</v>
      </c>
    </row>
    <row r="21" spans="1:2" x14ac:dyDescent="0.25">
      <c r="A21" s="36" t="s">
        <v>73</v>
      </c>
      <c r="B21" s="37">
        <v>48</v>
      </c>
    </row>
    <row r="22" spans="1:2" x14ac:dyDescent="0.25">
      <c r="A22" s="36" t="s">
        <v>105</v>
      </c>
      <c r="B22" s="37">
        <v>48</v>
      </c>
    </row>
    <row r="23" spans="1:2" x14ac:dyDescent="0.25">
      <c r="A23" s="36" t="s">
        <v>106</v>
      </c>
      <c r="B23" s="37">
        <v>48</v>
      </c>
    </row>
    <row r="24" spans="1:2" x14ac:dyDescent="0.25">
      <c r="A24" s="36" t="s">
        <v>76</v>
      </c>
      <c r="B24" s="37">
        <v>48</v>
      </c>
    </row>
    <row r="26" spans="1:2" x14ac:dyDescent="0.25">
      <c r="A26" s="34" t="s">
        <v>79</v>
      </c>
      <c r="B26" s="34"/>
    </row>
    <row r="27" spans="1:2" x14ac:dyDescent="0.25">
      <c r="A27" s="35" t="s">
        <v>63</v>
      </c>
      <c r="B27" s="35" t="s">
        <v>1</v>
      </c>
    </row>
    <row r="28" spans="1:2" x14ac:dyDescent="0.25">
      <c r="A28" s="36" t="s">
        <v>77</v>
      </c>
      <c r="B28" s="37">
        <v>48</v>
      </c>
    </row>
    <row r="29" spans="1:2" x14ac:dyDescent="0.25">
      <c r="A29" s="36" t="s">
        <v>78</v>
      </c>
      <c r="B29" s="37">
        <v>48</v>
      </c>
    </row>
    <row r="31" spans="1:2" x14ac:dyDescent="0.25">
      <c r="A31" s="34" t="s">
        <v>102</v>
      </c>
      <c r="B31" s="34"/>
    </row>
    <row r="32" spans="1:2" x14ac:dyDescent="0.25">
      <c r="A32" s="35" t="s">
        <v>63</v>
      </c>
      <c r="B32" s="35" t="s">
        <v>1</v>
      </c>
    </row>
    <row r="33" spans="1:2" x14ac:dyDescent="0.25">
      <c r="A33" s="36" t="s">
        <v>103</v>
      </c>
      <c r="B33" s="36"/>
    </row>
  </sheetData>
  <mergeCells count="5">
    <mergeCell ref="A1:B1"/>
    <mergeCell ref="A10:B10"/>
    <mergeCell ref="A19:B19"/>
    <mergeCell ref="A26:B26"/>
    <mergeCell ref="A31:B3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0F76-44F4-4FA0-BF0F-B8478484D5D3}">
  <dimension ref="A1:Y32"/>
  <sheetViews>
    <sheetView zoomScaleNormal="100" workbookViewId="0">
      <selection activeCell="K15" sqref="K15"/>
    </sheetView>
  </sheetViews>
  <sheetFormatPr defaultRowHeight="12.75" x14ac:dyDescent="0.2"/>
  <cols>
    <col min="1" max="1" width="18.5703125" style="4" customWidth="1"/>
    <col min="2" max="2" width="5.7109375" style="8" customWidth="1"/>
    <col min="3" max="3" width="18.5703125" style="4" customWidth="1"/>
    <col min="4" max="4" width="5.7109375" style="8" customWidth="1"/>
    <col min="5" max="5" width="18.5703125" style="4" customWidth="1"/>
    <col min="6" max="6" width="5.7109375" style="8" customWidth="1"/>
    <col min="7" max="7" width="18.5703125" style="4" customWidth="1"/>
    <col min="8" max="8" width="5.7109375" style="8" customWidth="1"/>
    <col min="9" max="9" width="18.5703125" style="4" customWidth="1"/>
    <col min="10" max="10" width="5.7109375" style="8" customWidth="1"/>
    <col min="11" max="11" width="18.5703125" style="4" customWidth="1"/>
    <col min="12" max="12" width="5.7109375" style="8" customWidth="1"/>
    <col min="13" max="13" width="18.5703125" style="4" customWidth="1"/>
    <col min="14" max="14" width="5.7109375" style="8" customWidth="1"/>
    <col min="15" max="15" width="18.5703125" style="4" customWidth="1"/>
    <col min="16" max="16" width="5.7109375" style="8" customWidth="1"/>
    <col min="17" max="17" width="2.5703125" style="4" customWidth="1"/>
    <col min="18" max="18" width="36.28515625" style="4" bestFit="1" customWidth="1"/>
    <col min="19" max="19" width="15" style="4" bestFit="1" customWidth="1"/>
    <col min="20" max="20" width="17.42578125" style="4" bestFit="1" customWidth="1"/>
    <col min="21" max="21" width="10.42578125" style="4" bestFit="1" customWidth="1"/>
    <col min="22" max="22" width="20.28515625" style="4" bestFit="1" customWidth="1"/>
    <col min="23" max="23" width="2.28515625" style="4" bestFit="1" customWidth="1"/>
    <col min="24" max="16384" width="9.140625" style="4"/>
  </cols>
  <sheetData>
    <row r="1" spans="1:25" x14ac:dyDescent="0.2">
      <c r="A1" s="1" t="s">
        <v>0</v>
      </c>
      <c r="B1" s="2" t="s">
        <v>1</v>
      </c>
      <c r="C1" s="3" t="s">
        <v>2</v>
      </c>
      <c r="D1" s="2" t="s">
        <v>1</v>
      </c>
      <c r="E1" s="1" t="s">
        <v>3</v>
      </c>
      <c r="F1" s="2" t="s">
        <v>1</v>
      </c>
      <c r="G1" s="1" t="s">
        <v>4</v>
      </c>
      <c r="H1" s="2" t="s">
        <v>1</v>
      </c>
      <c r="I1" s="1" t="s">
        <v>5</v>
      </c>
      <c r="J1" s="2" t="s">
        <v>1</v>
      </c>
      <c r="K1" s="1" t="s">
        <v>6</v>
      </c>
      <c r="L1" s="2" t="s">
        <v>1</v>
      </c>
      <c r="M1" s="1" t="s">
        <v>7</v>
      </c>
      <c r="N1" s="2" t="s">
        <v>1</v>
      </c>
      <c r="O1" s="1" t="s">
        <v>8</v>
      </c>
      <c r="P1" s="2" t="s">
        <v>1</v>
      </c>
    </row>
    <row r="2" spans="1:25" ht="25.5" x14ac:dyDescent="0.2">
      <c r="A2" s="16" t="s">
        <v>9</v>
      </c>
      <c r="B2" s="5">
        <v>4</v>
      </c>
      <c r="C2" s="55" t="s">
        <v>15</v>
      </c>
      <c r="D2" s="56">
        <v>3</v>
      </c>
      <c r="E2" s="55" t="s">
        <v>19</v>
      </c>
      <c r="F2" s="57">
        <v>3</v>
      </c>
      <c r="G2" s="69" t="s">
        <v>56</v>
      </c>
      <c r="H2" s="70">
        <v>6</v>
      </c>
      <c r="I2" s="55" t="s">
        <v>44</v>
      </c>
      <c r="J2" s="56">
        <v>3</v>
      </c>
      <c r="K2" s="69" t="s">
        <v>57</v>
      </c>
      <c r="L2" s="70">
        <v>6</v>
      </c>
      <c r="M2" s="71" t="s">
        <v>82</v>
      </c>
      <c r="N2" s="72">
        <v>12</v>
      </c>
      <c r="O2" s="61" t="s">
        <v>84</v>
      </c>
      <c r="P2" s="61"/>
    </row>
    <row r="3" spans="1:25" ht="38.25" x14ac:dyDescent="0.2">
      <c r="A3" s="16" t="s">
        <v>10</v>
      </c>
      <c r="B3" s="5">
        <v>3</v>
      </c>
      <c r="C3" s="55" t="s">
        <v>30</v>
      </c>
      <c r="D3" s="56">
        <v>3</v>
      </c>
      <c r="E3" s="55" t="s">
        <v>54</v>
      </c>
      <c r="F3" s="57">
        <v>3</v>
      </c>
      <c r="G3" s="55" t="s">
        <v>55</v>
      </c>
      <c r="H3" s="62">
        <v>3</v>
      </c>
      <c r="I3" s="55" t="s">
        <v>28</v>
      </c>
      <c r="J3" s="56">
        <v>4</v>
      </c>
      <c r="K3" s="55" t="s">
        <v>18</v>
      </c>
      <c r="L3" s="56">
        <v>3</v>
      </c>
      <c r="M3" s="71"/>
      <c r="N3" s="72"/>
      <c r="O3" s="63"/>
      <c r="P3" s="63"/>
      <c r="S3" s="18"/>
      <c r="T3" s="30"/>
      <c r="U3" s="18"/>
      <c r="V3" s="30"/>
    </row>
    <row r="4" spans="1:25" ht="25.5" x14ac:dyDescent="0.2">
      <c r="A4" s="16" t="s">
        <v>11</v>
      </c>
      <c r="B4" s="5">
        <v>3</v>
      </c>
      <c r="C4" s="55" t="s">
        <v>39</v>
      </c>
      <c r="D4" s="57">
        <v>2</v>
      </c>
      <c r="E4" s="64" t="s">
        <v>20</v>
      </c>
      <c r="F4" s="65">
        <v>4</v>
      </c>
      <c r="G4" s="64" t="s">
        <v>34</v>
      </c>
      <c r="H4" s="66">
        <v>3</v>
      </c>
      <c r="I4" s="64" t="s">
        <v>25</v>
      </c>
      <c r="J4" s="56">
        <v>3</v>
      </c>
      <c r="K4" s="55" t="s">
        <v>48</v>
      </c>
      <c r="L4" s="56">
        <v>3</v>
      </c>
      <c r="M4" s="71"/>
      <c r="N4" s="72"/>
      <c r="O4" s="63"/>
      <c r="P4" s="63"/>
      <c r="U4" s="18"/>
      <c r="V4" s="30"/>
      <c r="X4" s="18"/>
      <c r="Y4" s="30"/>
    </row>
    <row r="5" spans="1:25" ht="38.25" x14ac:dyDescent="0.2">
      <c r="A5" s="17" t="s">
        <v>12</v>
      </c>
      <c r="B5" s="9">
        <v>3</v>
      </c>
      <c r="C5" s="64" t="s">
        <v>17</v>
      </c>
      <c r="D5" s="67">
        <v>3</v>
      </c>
      <c r="E5" s="55" t="s">
        <v>41</v>
      </c>
      <c r="F5" s="56">
        <v>2</v>
      </c>
      <c r="G5" s="55" t="s">
        <v>43</v>
      </c>
      <c r="H5" s="56">
        <v>3</v>
      </c>
      <c r="I5" s="55" t="s">
        <v>49</v>
      </c>
      <c r="J5" s="56">
        <v>3</v>
      </c>
      <c r="K5" s="55" t="s">
        <v>47</v>
      </c>
      <c r="L5" s="56">
        <v>3</v>
      </c>
      <c r="M5" s="71"/>
      <c r="N5" s="72"/>
      <c r="O5" s="63"/>
      <c r="P5" s="63"/>
      <c r="S5" s="18">
        <f>160/16</f>
        <v>10</v>
      </c>
      <c r="T5" s="30"/>
    </row>
    <row r="6" spans="1:25" ht="38.25" x14ac:dyDescent="0.2">
      <c r="A6" s="16" t="s">
        <v>13</v>
      </c>
      <c r="B6" s="5">
        <v>3</v>
      </c>
      <c r="C6" s="55" t="s">
        <v>16</v>
      </c>
      <c r="D6" s="56">
        <v>3</v>
      </c>
      <c r="E6" s="55" t="s">
        <v>21</v>
      </c>
      <c r="F6" s="56">
        <v>3</v>
      </c>
      <c r="G6" s="55" t="s">
        <v>33</v>
      </c>
      <c r="H6" s="62">
        <v>3</v>
      </c>
      <c r="I6" s="55" t="s">
        <v>26</v>
      </c>
      <c r="J6" s="56">
        <v>3</v>
      </c>
      <c r="K6" s="55" t="s">
        <v>27</v>
      </c>
      <c r="L6" s="56">
        <v>3</v>
      </c>
      <c r="M6" s="71"/>
      <c r="N6" s="72"/>
      <c r="O6" s="63"/>
      <c r="P6" s="63"/>
      <c r="S6" s="18">
        <f>64*2</f>
        <v>128</v>
      </c>
      <c r="T6" s="30"/>
    </row>
    <row r="7" spans="1:25" ht="38.25" x14ac:dyDescent="0.2">
      <c r="A7" s="16" t="s">
        <v>29</v>
      </c>
      <c r="B7" s="5">
        <v>3</v>
      </c>
      <c r="C7" s="55" t="s">
        <v>45</v>
      </c>
      <c r="D7" s="67">
        <v>3</v>
      </c>
      <c r="E7" s="55" t="s">
        <v>40</v>
      </c>
      <c r="F7" s="56">
        <v>2</v>
      </c>
      <c r="G7" s="55" t="s">
        <v>35</v>
      </c>
      <c r="H7" s="56">
        <v>3</v>
      </c>
      <c r="I7" s="55" t="s">
        <v>37</v>
      </c>
      <c r="J7" s="56">
        <v>3</v>
      </c>
      <c r="K7" s="55" t="s">
        <v>36</v>
      </c>
      <c r="L7" s="56">
        <v>3</v>
      </c>
      <c r="M7" s="55" t="s">
        <v>80</v>
      </c>
      <c r="N7" s="56">
        <v>3</v>
      </c>
      <c r="O7" s="68"/>
      <c r="P7" s="68"/>
      <c r="S7" s="18">
        <f>360</f>
        <v>360</v>
      </c>
      <c r="T7" s="30">
        <f>S7+S6</f>
        <v>488</v>
      </c>
    </row>
    <row r="8" spans="1:25" ht="38.25" x14ac:dyDescent="0.2">
      <c r="A8" s="16"/>
      <c r="B8" s="5"/>
      <c r="C8" s="55" t="s">
        <v>38</v>
      </c>
      <c r="D8" s="56">
        <v>2</v>
      </c>
      <c r="E8" s="55" t="s">
        <v>32</v>
      </c>
      <c r="F8" s="56">
        <v>3</v>
      </c>
      <c r="G8" s="55" t="s">
        <v>24</v>
      </c>
      <c r="H8" s="56">
        <v>3</v>
      </c>
      <c r="I8" s="55" t="s">
        <v>42</v>
      </c>
      <c r="J8" s="56">
        <v>3</v>
      </c>
      <c r="K8" s="55" t="s">
        <v>46</v>
      </c>
      <c r="L8" s="56">
        <v>3</v>
      </c>
      <c r="M8" s="56" t="s">
        <v>81</v>
      </c>
      <c r="N8" s="56">
        <v>180</v>
      </c>
      <c r="O8" s="56" t="s">
        <v>83</v>
      </c>
      <c r="P8" s="56">
        <v>180</v>
      </c>
      <c r="S8" s="18"/>
      <c r="T8" s="30"/>
    </row>
    <row r="9" spans="1:25" x14ac:dyDescent="0.2">
      <c r="A9" s="25"/>
      <c r="B9" s="26"/>
      <c r="C9" s="25"/>
      <c r="D9" s="26"/>
      <c r="E9" s="25"/>
      <c r="F9" s="26"/>
      <c r="G9" s="25"/>
      <c r="H9" s="26"/>
      <c r="I9" s="25"/>
      <c r="J9" s="26"/>
      <c r="K9" s="25"/>
      <c r="L9" s="26"/>
      <c r="M9" s="25"/>
      <c r="N9" s="26"/>
      <c r="O9" s="25"/>
      <c r="P9" s="26"/>
    </row>
    <row r="10" spans="1:25" x14ac:dyDescent="0.2">
      <c r="A10" s="27"/>
      <c r="B10" s="28"/>
      <c r="C10" s="27"/>
      <c r="D10" s="28"/>
      <c r="E10" s="27"/>
      <c r="F10" s="28"/>
      <c r="G10" s="27"/>
      <c r="H10" s="28"/>
      <c r="I10" s="27"/>
      <c r="J10" s="28"/>
      <c r="K10" s="27"/>
      <c r="L10" s="28"/>
      <c r="M10" s="27"/>
      <c r="N10" s="28"/>
      <c r="O10" s="27"/>
      <c r="P10" s="28"/>
    </row>
    <row r="11" spans="1:25" ht="12.75" customHeight="1" x14ac:dyDescent="0.2">
      <c r="A11" s="14" t="s">
        <v>14</v>
      </c>
      <c r="B11" s="15">
        <f>SUM(B2:B7)</f>
        <v>19</v>
      </c>
      <c r="C11" s="14" t="s">
        <v>14</v>
      </c>
      <c r="D11" s="15">
        <f>SUM(D2:D8)</f>
        <v>19</v>
      </c>
      <c r="E11" s="14" t="s">
        <v>14</v>
      </c>
      <c r="F11" s="15">
        <f>SUM(F2:F8)</f>
        <v>20</v>
      </c>
      <c r="G11" s="14" t="s">
        <v>14</v>
      </c>
      <c r="H11" s="15">
        <f>SUM(H2:H9)</f>
        <v>24</v>
      </c>
      <c r="I11" s="14" t="s">
        <v>14</v>
      </c>
      <c r="J11" s="15">
        <f>SUM(J2:J9)</f>
        <v>22</v>
      </c>
      <c r="K11" s="14" t="s">
        <v>14</v>
      </c>
      <c r="L11" s="15">
        <f>SUM(L2:L9)</f>
        <v>24</v>
      </c>
      <c r="M11" s="14" t="s">
        <v>14</v>
      </c>
      <c r="N11" s="15">
        <f>N7+N2</f>
        <v>15</v>
      </c>
      <c r="O11" s="14" t="s">
        <v>14</v>
      </c>
      <c r="P11" s="15"/>
    </row>
    <row r="12" spans="1:25" ht="12.75" customHeight="1" x14ac:dyDescent="0.2">
      <c r="R12" s="46" t="s">
        <v>86</v>
      </c>
      <c r="S12" s="47" t="s">
        <v>89</v>
      </c>
      <c r="T12" s="47" t="s">
        <v>90</v>
      </c>
      <c r="U12" s="47" t="s">
        <v>104</v>
      </c>
    </row>
    <row r="13" spans="1:25" ht="12.75" customHeight="1" x14ac:dyDescent="0.2">
      <c r="B13" s="8">
        <f>B2*16</f>
        <v>64</v>
      </c>
      <c r="D13" s="8">
        <f>D2*16</f>
        <v>48</v>
      </c>
      <c r="F13" s="8">
        <f>F2*16</f>
        <v>48</v>
      </c>
      <c r="H13" s="8">
        <f>H2*16</f>
        <v>96</v>
      </c>
      <c r="J13" s="8">
        <f>J2*16</f>
        <v>48</v>
      </c>
      <c r="L13" s="8">
        <f>L2*16</f>
        <v>96</v>
      </c>
      <c r="N13" s="8">
        <f>N2*16</f>
        <v>192</v>
      </c>
      <c r="Q13" s="20" t="s">
        <v>94</v>
      </c>
      <c r="R13" s="45" t="s">
        <v>51</v>
      </c>
      <c r="S13" s="15">
        <f>B22+D22+F22+H22+J22+L22</f>
        <v>2048</v>
      </c>
      <c r="T13" s="49">
        <f>5/6*S13</f>
        <v>1706.6666666666667</v>
      </c>
      <c r="U13" s="53">
        <f>T13/$T$21</f>
        <v>0.53112033195020747</v>
      </c>
      <c r="V13" s="4" t="s">
        <v>58</v>
      </c>
    </row>
    <row r="14" spans="1:25" ht="12.75" customHeight="1" x14ac:dyDescent="0.2">
      <c r="B14" s="8">
        <f t="shared" ref="B14:B17" si="0">B3*16</f>
        <v>48</v>
      </c>
      <c r="D14" s="8">
        <f t="shared" ref="D14:D17" si="1">D3*16</f>
        <v>48</v>
      </c>
      <c r="F14" s="8">
        <f t="shared" ref="F14:F17" si="2">F3*16</f>
        <v>48</v>
      </c>
      <c r="H14" s="8">
        <f t="shared" ref="H14:H17" si="3">H3*16</f>
        <v>48</v>
      </c>
      <c r="J14" s="8">
        <f t="shared" ref="J14:J17" si="4">J3*16</f>
        <v>64</v>
      </c>
      <c r="L14" s="8">
        <f t="shared" ref="L14:L17" si="5">L3*16</f>
        <v>48</v>
      </c>
      <c r="N14" s="8">
        <f>N3*16</f>
        <v>0</v>
      </c>
      <c r="Q14" s="20" t="s">
        <v>96</v>
      </c>
      <c r="R14" s="45" t="s">
        <v>52</v>
      </c>
      <c r="S14" s="15">
        <f>N22</f>
        <v>240</v>
      </c>
      <c r="T14" s="49">
        <f t="shared" ref="T14:T18" si="6">5/6*S14</f>
        <v>200</v>
      </c>
      <c r="U14" s="53">
        <f t="shared" ref="U14:U21" si="7">T14/$T$21</f>
        <v>6.2240663900414932E-2</v>
      </c>
      <c r="V14" s="7" t="s">
        <v>38</v>
      </c>
      <c r="W14" s="5">
        <v>2</v>
      </c>
    </row>
    <row r="15" spans="1:25" ht="12.75" customHeight="1" x14ac:dyDescent="0.2">
      <c r="B15" s="8">
        <f t="shared" si="0"/>
        <v>48</v>
      </c>
      <c r="D15" s="8">
        <f t="shared" si="1"/>
        <v>32</v>
      </c>
      <c r="F15" s="8">
        <f t="shared" si="2"/>
        <v>64</v>
      </c>
      <c r="H15" s="8">
        <f t="shared" si="3"/>
        <v>48</v>
      </c>
      <c r="J15" s="8">
        <f t="shared" si="4"/>
        <v>48</v>
      </c>
      <c r="L15" s="8">
        <f t="shared" si="5"/>
        <v>48</v>
      </c>
      <c r="N15" s="8">
        <f t="shared" ref="N15" si="8">N4*16</f>
        <v>0</v>
      </c>
      <c r="Q15" s="20" t="s">
        <v>97</v>
      </c>
      <c r="R15" s="45" t="s">
        <v>85</v>
      </c>
      <c r="S15" s="15">
        <f>S13+S14</f>
        <v>2288</v>
      </c>
      <c r="T15" s="49">
        <f t="shared" si="6"/>
        <v>1906.6666666666667</v>
      </c>
      <c r="U15" s="53">
        <f t="shared" si="7"/>
        <v>0.59336099585062241</v>
      </c>
      <c r="V15" s="52"/>
      <c r="W15" s="20"/>
    </row>
    <row r="16" spans="1:25" ht="12.75" customHeight="1" x14ac:dyDescent="0.2">
      <c r="B16" s="8">
        <f t="shared" si="0"/>
        <v>48</v>
      </c>
      <c r="D16" s="8">
        <f t="shared" si="1"/>
        <v>48</v>
      </c>
      <c r="F16" s="8">
        <f t="shared" si="2"/>
        <v>32</v>
      </c>
      <c r="H16" s="8">
        <f t="shared" si="3"/>
        <v>48</v>
      </c>
      <c r="J16" s="8">
        <f t="shared" si="4"/>
        <v>48</v>
      </c>
      <c r="L16" s="8">
        <f t="shared" si="5"/>
        <v>48</v>
      </c>
      <c r="N16" s="8">
        <f>N5*16</f>
        <v>0</v>
      </c>
      <c r="Q16" s="20" t="s">
        <v>95</v>
      </c>
      <c r="R16" s="45" t="s">
        <v>87</v>
      </c>
      <c r="S16" s="15">
        <f>16*(H2+L2+N2+D8+F8+H8+J8+J7+L7)</f>
        <v>656</v>
      </c>
      <c r="T16" s="49">
        <f t="shared" si="6"/>
        <v>546.66666666666674</v>
      </c>
      <c r="U16" s="53">
        <f t="shared" si="7"/>
        <v>0.17012448132780084</v>
      </c>
    </row>
    <row r="17" spans="2:23" ht="12.75" customHeight="1" x14ac:dyDescent="0.2">
      <c r="B17" s="8">
        <f t="shared" si="0"/>
        <v>48</v>
      </c>
      <c r="D17" s="8">
        <f t="shared" si="1"/>
        <v>48</v>
      </c>
      <c r="F17" s="8">
        <f t="shared" si="2"/>
        <v>48</v>
      </c>
      <c r="H17" s="8">
        <f t="shared" si="3"/>
        <v>48</v>
      </c>
      <c r="J17" s="8">
        <f t="shared" si="4"/>
        <v>48</v>
      </c>
      <c r="L17" s="8">
        <f t="shared" si="5"/>
        <v>48</v>
      </c>
      <c r="N17" s="8">
        <f t="shared" ref="N17" si="9">N6*16</f>
        <v>0</v>
      </c>
      <c r="Q17" s="20" t="s">
        <v>98</v>
      </c>
      <c r="R17" s="45" t="s">
        <v>84</v>
      </c>
      <c r="S17" s="15">
        <v>320</v>
      </c>
      <c r="T17" s="49">
        <f t="shared" si="6"/>
        <v>266.66666666666669</v>
      </c>
      <c r="U17" s="53">
        <f t="shared" si="7"/>
        <v>8.2987551867219914E-2</v>
      </c>
    </row>
    <row r="18" spans="2:23" ht="12.75" customHeight="1" x14ac:dyDescent="0.2">
      <c r="B18" s="8">
        <f>B7*16</f>
        <v>48</v>
      </c>
      <c r="D18" s="8">
        <f>D7*16</f>
        <v>48</v>
      </c>
      <c r="F18" s="8">
        <f>F7*16</f>
        <v>32</v>
      </c>
      <c r="H18" s="8">
        <f>H7*16</f>
        <v>48</v>
      </c>
      <c r="J18" s="8">
        <f>J7*16</f>
        <v>48</v>
      </c>
      <c r="L18" s="8">
        <f>L7*16</f>
        <v>48</v>
      </c>
      <c r="N18" s="8">
        <f>N7*16</f>
        <v>48</v>
      </c>
      <c r="Q18" s="20" t="s">
        <v>99</v>
      </c>
      <c r="R18" s="45" t="s">
        <v>88</v>
      </c>
      <c r="S18" s="15">
        <f>N8+P8</f>
        <v>360</v>
      </c>
      <c r="T18" s="49">
        <f t="shared" si="6"/>
        <v>300</v>
      </c>
      <c r="U18" s="53">
        <f t="shared" si="7"/>
        <v>9.3360995850622408E-2</v>
      </c>
      <c r="V18" s="18"/>
      <c r="W18" s="30"/>
    </row>
    <row r="19" spans="2:23" ht="12.75" customHeight="1" x14ac:dyDescent="0.2">
      <c r="B19" s="8">
        <f>B8*16</f>
        <v>0</v>
      </c>
      <c r="D19" s="8">
        <f>D8*16</f>
        <v>32</v>
      </c>
      <c r="F19" s="8">
        <f>F8*16</f>
        <v>48</v>
      </c>
      <c r="H19" s="8">
        <f>H8*16</f>
        <v>48</v>
      </c>
      <c r="J19" s="8">
        <f>J8*16</f>
        <v>48</v>
      </c>
      <c r="L19" s="8">
        <f>L8*16</f>
        <v>48</v>
      </c>
      <c r="Q19" s="20" t="s">
        <v>100</v>
      </c>
      <c r="R19" s="14" t="s">
        <v>92</v>
      </c>
      <c r="S19" s="20">
        <v>488</v>
      </c>
      <c r="T19" s="54">
        <f>5/6*S19</f>
        <v>406.66666666666669</v>
      </c>
      <c r="U19" s="53">
        <f>T19/$T$21</f>
        <v>0.12655601659751037</v>
      </c>
      <c r="V19" s="18"/>
      <c r="W19" s="30"/>
    </row>
    <row r="20" spans="2:23" ht="12.75" customHeight="1" x14ac:dyDescent="0.2">
      <c r="B20" s="8">
        <f>B9*16</f>
        <v>0</v>
      </c>
      <c r="D20" s="8">
        <f>D9*16</f>
        <v>0</v>
      </c>
      <c r="F20" s="8">
        <f>F9*16</f>
        <v>0</v>
      </c>
      <c r="H20" s="8">
        <f>H9*16</f>
        <v>0</v>
      </c>
      <c r="J20" s="8">
        <f>J9*16</f>
        <v>0</v>
      </c>
      <c r="L20" s="8">
        <f>L9*16</f>
        <v>0</v>
      </c>
      <c r="Q20" s="20" t="s">
        <v>101</v>
      </c>
      <c r="R20" s="14" t="s">
        <v>93</v>
      </c>
      <c r="S20" s="20">
        <v>400</v>
      </c>
      <c r="T20" s="54">
        <f>5/6*S20</f>
        <v>333.33333333333337</v>
      </c>
      <c r="U20" s="53">
        <f t="shared" si="7"/>
        <v>0.1037344398340249</v>
      </c>
      <c r="V20" s="18"/>
      <c r="W20" s="30"/>
    </row>
    <row r="21" spans="2:23" ht="12.75" customHeight="1" x14ac:dyDescent="0.2">
      <c r="B21" s="4"/>
      <c r="D21" s="4"/>
      <c r="F21" s="4"/>
      <c r="H21" s="4"/>
      <c r="J21" s="4"/>
      <c r="L21" s="4"/>
      <c r="N21" s="4"/>
      <c r="P21" s="4"/>
      <c r="R21" s="48" t="s">
        <v>91</v>
      </c>
      <c r="S21" s="48">
        <f>S15+S18+S17+S19+S20</f>
        <v>3856</v>
      </c>
      <c r="T21" s="50">
        <f>T15+T18+T17+T19+T20</f>
        <v>3213.3333333333335</v>
      </c>
      <c r="U21" s="53">
        <f t="shared" si="7"/>
        <v>1</v>
      </c>
      <c r="V21" s="18"/>
      <c r="W21" s="30"/>
    </row>
    <row r="22" spans="2:23" ht="12.75" customHeight="1" x14ac:dyDescent="0.2">
      <c r="B22" s="8">
        <f>SUM(B13:B19)</f>
        <v>304</v>
      </c>
      <c r="D22" s="8">
        <f>SUM(D13:D19)</f>
        <v>304</v>
      </c>
      <c r="F22" s="8">
        <f>SUM(F13:F19)</f>
        <v>320</v>
      </c>
      <c r="H22" s="8">
        <f>SUM(H13:H19)</f>
        <v>384</v>
      </c>
      <c r="J22" s="8">
        <f>SUM(J13:J19)</f>
        <v>352</v>
      </c>
      <c r="L22" s="8">
        <f>SUM(L13:L19)</f>
        <v>384</v>
      </c>
      <c r="N22" s="8">
        <f>SUM(N13:N19)</f>
        <v>240</v>
      </c>
      <c r="T22" s="51"/>
      <c r="V22" s="18"/>
      <c r="W22" s="30"/>
    </row>
    <row r="23" spans="2:23" ht="12.75" customHeight="1" x14ac:dyDescent="0.2">
      <c r="B23" s="4"/>
      <c r="R23" s="44" t="s">
        <v>53</v>
      </c>
      <c r="S23" s="44"/>
    </row>
    <row r="24" spans="2:23" ht="12.75" customHeight="1" x14ac:dyDescent="0.2">
      <c r="R24" s="15">
        <v>20</v>
      </c>
      <c r="S24" s="14" t="s">
        <v>22</v>
      </c>
    </row>
    <row r="25" spans="2:23" ht="12.75" customHeight="1" x14ac:dyDescent="0.2">
      <c r="J25" s="4"/>
      <c r="R25" s="15">
        <f>5*5</f>
        <v>25</v>
      </c>
      <c r="S25" s="14" t="s">
        <v>23</v>
      </c>
    </row>
    <row r="26" spans="2:23" x14ac:dyDescent="0.2">
      <c r="J26" s="4"/>
    </row>
    <row r="27" spans="2:23" x14ac:dyDescent="0.2">
      <c r="K27" s="4">
        <f>159+212</f>
        <v>371</v>
      </c>
    </row>
    <row r="29" spans="2:23" x14ac:dyDescent="0.2">
      <c r="U29" s="4">
        <f>5/6*1968</f>
        <v>1640</v>
      </c>
    </row>
    <row r="32" spans="2:23" x14ac:dyDescent="0.2">
      <c r="S32" s="4">
        <f>1968+384+360</f>
        <v>2712</v>
      </c>
    </row>
  </sheetData>
  <mergeCells count="5">
    <mergeCell ref="M2:M6"/>
    <mergeCell ref="N2:N6"/>
    <mergeCell ref="O2:O7"/>
    <mergeCell ref="P2:P7"/>
    <mergeCell ref="R23:S23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6FB4-52EC-42E4-A777-9F37AA7961EC}">
  <dimension ref="A1:Y32"/>
  <sheetViews>
    <sheetView zoomScaleNormal="100" workbookViewId="0">
      <selection activeCell="I28" sqref="I28"/>
    </sheetView>
  </sheetViews>
  <sheetFormatPr defaultRowHeight="12.75" x14ac:dyDescent="0.2"/>
  <cols>
    <col min="1" max="1" width="18.5703125" style="4" customWidth="1"/>
    <col min="2" max="2" width="5.7109375" style="8" customWidth="1"/>
    <col min="3" max="3" width="18.5703125" style="4" customWidth="1"/>
    <col min="4" max="4" width="5.7109375" style="8" customWidth="1"/>
    <col min="5" max="5" width="18.5703125" style="4" customWidth="1"/>
    <col min="6" max="6" width="5.7109375" style="8" customWidth="1"/>
    <col min="7" max="7" width="18.5703125" style="4" customWidth="1"/>
    <col min="8" max="8" width="5.7109375" style="8" customWidth="1"/>
    <col min="9" max="9" width="18.5703125" style="4" customWidth="1"/>
    <col min="10" max="10" width="5.7109375" style="8" customWidth="1"/>
    <col min="11" max="11" width="18.5703125" style="4" customWidth="1"/>
    <col min="12" max="12" width="5.7109375" style="8" customWidth="1"/>
    <col min="13" max="13" width="18.5703125" style="4" customWidth="1"/>
    <col min="14" max="14" width="5.7109375" style="8" customWidth="1"/>
    <col min="15" max="15" width="18.5703125" style="4" customWidth="1"/>
    <col min="16" max="16" width="5.7109375" style="8" customWidth="1"/>
    <col min="17" max="17" width="2.5703125" style="4" customWidth="1"/>
    <col min="18" max="18" width="36.28515625" style="4" bestFit="1" customWidth="1"/>
    <col min="19" max="19" width="15" style="4" bestFit="1" customWidth="1"/>
    <col min="20" max="20" width="17.42578125" style="4" bestFit="1" customWidth="1"/>
    <col min="21" max="21" width="10.42578125" style="4" bestFit="1" customWidth="1"/>
    <col min="22" max="22" width="20.28515625" style="4" bestFit="1" customWidth="1"/>
    <col min="23" max="23" width="2.28515625" style="4" bestFit="1" customWidth="1"/>
    <col min="24" max="16384" width="9.140625" style="4"/>
  </cols>
  <sheetData>
    <row r="1" spans="1:25" x14ac:dyDescent="0.2">
      <c r="A1" s="1" t="s">
        <v>0</v>
      </c>
      <c r="B1" s="2" t="s">
        <v>1</v>
      </c>
      <c r="C1" s="3" t="s">
        <v>2</v>
      </c>
      <c r="D1" s="2" t="s">
        <v>1</v>
      </c>
      <c r="E1" s="1" t="s">
        <v>3</v>
      </c>
      <c r="F1" s="2" t="s">
        <v>1</v>
      </c>
      <c r="G1" s="1" t="s">
        <v>4</v>
      </c>
      <c r="H1" s="2" t="s">
        <v>1</v>
      </c>
      <c r="I1" s="1" t="s">
        <v>5</v>
      </c>
      <c r="J1" s="2" t="s">
        <v>1</v>
      </c>
      <c r="K1" s="1" t="s">
        <v>6</v>
      </c>
      <c r="L1" s="2" t="s">
        <v>1</v>
      </c>
      <c r="M1" s="1" t="s">
        <v>7</v>
      </c>
      <c r="N1" s="2" t="s">
        <v>1</v>
      </c>
      <c r="O1" s="1" t="s">
        <v>8</v>
      </c>
      <c r="P1" s="2" t="s">
        <v>1</v>
      </c>
    </row>
    <row r="2" spans="1:25" ht="25.5" x14ac:dyDescent="0.2">
      <c r="A2" s="16" t="s">
        <v>9</v>
      </c>
      <c r="B2" s="5">
        <v>4</v>
      </c>
      <c r="C2" s="55" t="s">
        <v>15</v>
      </c>
      <c r="D2" s="56">
        <v>3</v>
      </c>
      <c r="E2" s="55" t="s">
        <v>19</v>
      </c>
      <c r="F2" s="57">
        <v>3</v>
      </c>
      <c r="G2" s="69" t="s">
        <v>56</v>
      </c>
      <c r="H2" s="70">
        <v>6</v>
      </c>
      <c r="I2" s="55" t="s">
        <v>44</v>
      </c>
      <c r="J2" s="56">
        <v>3</v>
      </c>
      <c r="K2" s="73" t="s">
        <v>57</v>
      </c>
      <c r="L2" s="70">
        <v>6</v>
      </c>
      <c r="M2" s="59" t="s">
        <v>82</v>
      </c>
      <c r="N2" s="60">
        <v>12</v>
      </c>
      <c r="O2" s="61" t="s">
        <v>84</v>
      </c>
      <c r="P2" s="61"/>
    </row>
    <row r="3" spans="1:25" ht="38.25" x14ac:dyDescent="0.2">
      <c r="A3" s="16" t="s">
        <v>10</v>
      </c>
      <c r="B3" s="5">
        <v>3</v>
      </c>
      <c r="C3" s="55" t="s">
        <v>30</v>
      </c>
      <c r="D3" s="56">
        <v>3</v>
      </c>
      <c r="E3" s="55" t="s">
        <v>54</v>
      </c>
      <c r="F3" s="57">
        <v>3</v>
      </c>
      <c r="G3" s="55" t="s">
        <v>55</v>
      </c>
      <c r="H3" s="62">
        <v>3</v>
      </c>
      <c r="I3" s="55" t="s">
        <v>28</v>
      </c>
      <c r="J3" s="56">
        <v>4</v>
      </c>
      <c r="K3" s="55" t="s">
        <v>18</v>
      </c>
      <c r="L3" s="56">
        <v>3</v>
      </c>
      <c r="M3" s="59"/>
      <c r="N3" s="60"/>
      <c r="O3" s="63"/>
      <c r="P3" s="63"/>
      <c r="S3" s="18"/>
      <c r="T3" s="30"/>
      <c r="U3" s="18"/>
      <c r="V3" s="30"/>
    </row>
    <row r="4" spans="1:25" ht="25.5" x14ac:dyDescent="0.2">
      <c r="A4" s="16" t="s">
        <v>11</v>
      </c>
      <c r="B4" s="5">
        <v>3</v>
      </c>
      <c r="C4" s="55" t="s">
        <v>39</v>
      </c>
      <c r="D4" s="57">
        <v>2</v>
      </c>
      <c r="E4" s="64" t="s">
        <v>20</v>
      </c>
      <c r="F4" s="65">
        <v>4</v>
      </c>
      <c r="G4" s="64" t="s">
        <v>34</v>
      </c>
      <c r="H4" s="66">
        <v>3</v>
      </c>
      <c r="I4" s="64" t="s">
        <v>25</v>
      </c>
      <c r="J4" s="56">
        <v>3</v>
      </c>
      <c r="K4" s="55" t="s">
        <v>48</v>
      </c>
      <c r="L4" s="56">
        <v>3</v>
      </c>
      <c r="M4" s="59"/>
      <c r="N4" s="60"/>
      <c r="O4" s="63"/>
      <c r="P4" s="63"/>
      <c r="U4" s="18"/>
      <c r="V4" s="30"/>
      <c r="X4" s="18"/>
      <c r="Y4" s="30"/>
    </row>
    <row r="5" spans="1:25" ht="38.25" x14ac:dyDescent="0.2">
      <c r="A5" s="17" t="s">
        <v>12</v>
      </c>
      <c r="B5" s="9">
        <v>3</v>
      </c>
      <c r="C5" s="64" t="s">
        <v>17</v>
      </c>
      <c r="D5" s="67">
        <v>3</v>
      </c>
      <c r="E5" s="55" t="s">
        <v>41</v>
      </c>
      <c r="F5" s="56">
        <v>2</v>
      </c>
      <c r="G5" s="55" t="s">
        <v>43</v>
      </c>
      <c r="H5" s="56">
        <v>3</v>
      </c>
      <c r="I5" s="55" t="s">
        <v>49</v>
      </c>
      <c r="J5" s="56">
        <v>3</v>
      </c>
      <c r="K5" s="55" t="s">
        <v>47</v>
      </c>
      <c r="L5" s="56">
        <v>3</v>
      </c>
      <c r="M5" s="59"/>
      <c r="N5" s="60"/>
      <c r="O5" s="63"/>
      <c r="P5" s="63"/>
      <c r="S5" s="18">
        <f>160/16</f>
        <v>10</v>
      </c>
      <c r="T5" s="30"/>
    </row>
    <row r="6" spans="1:25" ht="38.25" x14ac:dyDescent="0.2">
      <c r="A6" s="16" t="s">
        <v>13</v>
      </c>
      <c r="B6" s="5">
        <v>3</v>
      </c>
      <c r="C6" s="55" t="s">
        <v>16</v>
      </c>
      <c r="D6" s="56">
        <v>3</v>
      </c>
      <c r="E6" s="55" t="s">
        <v>21</v>
      </c>
      <c r="F6" s="56">
        <v>3</v>
      </c>
      <c r="G6" s="55" t="s">
        <v>33</v>
      </c>
      <c r="H6" s="62">
        <v>3</v>
      </c>
      <c r="I6" s="55" t="s">
        <v>26</v>
      </c>
      <c r="J6" s="56">
        <v>3</v>
      </c>
      <c r="K6" s="55" t="s">
        <v>27</v>
      </c>
      <c r="L6" s="56">
        <v>3</v>
      </c>
      <c r="M6" s="59"/>
      <c r="N6" s="60"/>
      <c r="O6" s="63"/>
      <c r="P6" s="63"/>
      <c r="S6" s="18">
        <f>64*2</f>
        <v>128</v>
      </c>
      <c r="T6" s="30"/>
    </row>
    <row r="7" spans="1:25" ht="38.25" x14ac:dyDescent="0.2">
      <c r="A7" s="16" t="s">
        <v>29</v>
      </c>
      <c r="B7" s="5">
        <v>3</v>
      </c>
      <c r="C7" s="55" t="s">
        <v>45</v>
      </c>
      <c r="D7" s="67">
        <v>3</v>
      </c>
      <c r="E7" s="55" t="s">
        <v>40</v>
      </c>
      <c r="F7" s="56">
        <v>2</v>
      </c>
      <c r="G7" s="55" t="s">
        <v>35</v>
      </c>
      <c r="H7" s="56">
        <v>3</v>
      </c>
      <c r="I7" s="69" t="s">
        <v>37</v>
      </c>
      <c r="J7" s="70">
        <v>3</v>
      </c>
      <c r="K7" s="69" t="s">
        <v>36</v>
      </c>
      <c r="L7" s="70">
        <v>3</v>
      </c>
      <c r="M7" s="55" t="s">
        <v>80</v>
      </c>
      <c r="N7" s="56">
        <v>3</v>
      </c>
      <c r="O7" s="68"/>
      <c r="P7" s="68"/>
      <c r="S7" s="18">
        <f>360</f>
        <v>360</v>
      </c>
      <c r="T7" s="30">
        <f>S7+S6</f>
        <v>488</v>
      </c>
    </row>
    <row r="8" spans="1:25" ht="38.25" x14ac:dyDescent="0.2">
      <c r="A8" s="16"/>
      <c r="B8" s="5"/>
      <c r="C8" s="69" t="s">
        <v>38</v>
      </c>
      <c r="D8" s="70">
        <v>2</v>
      </c>
      <c r="E8" s="69" t="s">
        <v>32</v>
      </c>
      <c r="F8" s="70">
        <v>3</v>
      </c>
      <c r="G8" s="69" t="s">
        <v>24</v>
      </c>
      <c r="H8" s="70">
        <v>3</v>
      </c>
      <c r="I8" s="69" t="s">
        <v>42</v>
      </c>
      <c r="J8" s="70">
        <v>3</v>
      </c>
      <c r="K8" s="55" t="s">
        <v>46</v>
      </c>
      <c r="L8" s="56">
        <v>3</v>
      </c>
      <c r="M8" s="56" t="s">
        <v>81</v>
      </c>
      <c r="N8" s="56">
        <v>180</v>
      </c>
      <c r="O8" s="56" t="s">
        <v>83</v>
      </c>
      <c r="P8" s="56">
        <v>180</v>
      </c>
      <c r="S8" s="18"/>
      <c r="T8" s="30"/>
    </row>
    <row r="9" spans="1:25" x14ac:dyDescent="0.2">
      <c r="A9" s="25"/>
      <c r="B9" s="26"/>
      <c r="C9" s="25"/>
      <c r="D9" s="26"/>
      <c r="E9" s="25"/>
      <c r="F9" s="26"/>
      <c r="G9" s="25"/>
      <c r="H9" s="26"/>
      <c r="I9" s="25"/>
      <c r="J9" s="26"/>
      <c r="K9" s="25"/>
      <c r="L9" s="26"/>
      <c r="M9" s="25"/>
      <c r="N9" s="26"/>
      <c r="O9" s="25"/>
      <c r="P9" s="26"/>
    </row>
    <row r="10" spans="1:25" x14ac:dyDescent="0.2">
      <c r="A10" s="27"/>
      <c r="B10" s="28"/>
      <c r="C10" s="27"/>
      <c r="D10" s="28"/>
      <c r="E10" s="27"/>
      <c r="F10" s="28"/>
      <c r="G10" s="27"/>
      <c r="H10" s="28"/>
      <c r="I10" s="27"/>
      <c r="J10" s="28"/>
      <c r="K10" s="27"/>
      <c r="L10" s="28"/>
      <c r="M10" s="27"/>
      <c r="N10" s="28"/>
      <c r="O10" s="27"/>
      <c r="P10" s="28"/>
    </row>
    <row r="11" spans="1:25" ht="12.75" customHeight="1" x14ac:dyDescent="0.2">
      <c r="A11" s="14" t="s">
        <v>14</v>
      </c>
      <c r="B11" s="15">
        <f>SUM(B2:B7)</f>
        <v>19</v>
      </c>
      <c r="C11" s="14" t="s">
        <v>14</v>
      </c>
      <c r="D11" s="15">
        <f>SUM(D2:D8)</f>
        <v>19</v>
      </c>
      <c r="E11" s="14" t="s">
        <v>14</v>
      </c>
      <c r="F11" s="15">
        <f>SUM(F2:F8)</f>
        <v>20</v>
      </c>
      <c r="G11" s="14" t="s">
        <v>14</v>
      </c>
      <c r="H11" s="15">
        <f>SUM(H2:H9)</f>
        <v>24</v>
      </c>
      <c r="I11" s="14" t="s">
        <v>14</v>
      </c>
      <c r="J11" s="15">
        <f>SUM(J2:J9)</f>
        <v>22</v>
      </c>
      <c r="K11" s="14" t="s">
        <v>14</v>
      </c>
      <c r="L11" s="15">
        <f>SUM(L2:L9)</f>
        <v>24</v>
      </c>
      <c r="M11" s="14" t="s">
        <v>14</v>
      </c>
      <c r="N11" s="15">
        <f>N7+N2</f>
        <v>15</v>
      </c>
      <c r="O11" s="14" t="s">
        <v>14</v>
      </c>
      <c r="P11" s="15"/>
    </row>
    <row r="12" spans="1:25" ht="12.75" customHeight="1" x14ac:dyDescent="0.2">
      <c r="R12" s="46" t="s">
        <v>86</v>
      </c>
      <c r="S12" s="47" t="s">
        <v>89</v>
      </c>
      <c r="T12" s="47" t="s">
        <v>90</v>
      </c>
      <c r="U12" s="47" t="s">
        <v>104</v>
      </c>
    </row>
    <row r="13" spans="1:25" ht="12.75" customHeight="1" x14ac:dyDescent="0.2">
      <c r="B13" s="8">
        <f>B2*16</f>
        <v>64</v>
      </c>
      <c r="D13" s="8">
        <f>D2*16</f>
        <v>48</v>
      </c>
      <c r="F13" s="8">
        <f>F2*16</f>
        <v>48</v>
      </c>
      <c r="H13" s="8">
        <f>H2*16</f>
        <v>96</v>
      </c>
      <c r="J13" s="8">
        <f>J2*16</f>
        <v>48</v>
      </c>
      <c r="L13" s="8">
        <f>L2*16</f>
        <v>96</v>
      </c>
      <c r="N13" s="8">
        <f>N2*16</f>
        <v>192</v>
      </c>
      <c r="Q13" s="20" t="s">
        <v>94</v>
      </c>
      <c r="R13" s="45" t="s">
        <v>51</v>
      </c>
      <c r="S13" s="15">
        <f>B22+D22+F22+H22+J22+L22</f>
        <v>2048</v>
      </c>
      <c r="T13" s="49">
        <f>5/6*S13</f>
        <v>1706.6666666666667</v>
      </c>
      <c r="U13" s="53">
        <f>T13/$T$21</f>
        <v>0.53112033195020747</v>
      </c>
      <c r="V13" s="4" t="s">
        <v>58</v>
      </c>
    </row>
    <row r="14" spans="1:25" ht="12.75" customHeight="1" x14ac:dyDescent="0.2">
      <c r="B14" s="8">
        <f t="shared" ref="B14:B17" si="0">B3*16</f>
        <v>48</v>
      </c>
      <c r="D14" s="8">
        <f t="shared" ref="D14:D17" si="1">D3*16</f>
        <v>48</v>
      </c>
      <c r="F14" s="8">
        <f t="shared" ref="F14:F17" si="2">F3*16</f>
        <v>48</v>
      </c>
      <c r="H14" s="8">
        <f t="shared" ref="H14:H17" si="3">H3*16</f>
        <v>48</v>
      </c>
      <c r="J14" s="8">
        <f t="shared" ref="J14:J17" si="4">J3*16</f>
        <v>64</v>
      </c>
      <c r="L14" s="8">
        <f t="shared" ref="L14:L17" si="5">L3*16</f>
        <v>48</v>
      </c>
      <c r="N14" s="8">
        <f>N3*16</f>
        <v>0</v>
      </c>
      <c r="Q14" s="20" t="s">
        <v>96</v>
      </c>
      <c r="R14" s="45" t="s">
        <v>52</v>
      </c>
      <c r="S14" s="15">
        <f>N22</f>
        <v>240</v>
      </c>
      <c r="T14" s="49">
        <f t="shared" ref="T14:T18" si="6">5/6*S14</f>
        <v>200</v>
      </c>
      <c r="U14" s="53">
        <f t="shared" ref="U14:U21" si="7">T14/$T$21</f>
        <v>6.2240663900414932E-2</v>
      </c>
      <c r="V14" s="7" t="s">
        <v>38</v>
      </c>
      <c r="W14" s="5">
        <v>2</v>
      </c>
    </row>
    <row r="15" spans="1:25" ht="12.75" customHeight="1" x14ac:dyDescent="0.2">
      <c r="B15" s="8">
        <f t="shared" si="0"/>
        <v>48</v>
      </c>
      <c r="D15" s="8">
        <f t="shared" si="1"/>
        <v>32</v>
      </c>
      <c r="F15" s="8">
        <f t="shared" si="2"/>
        <v>64</v>
      </c>
      <c r="H15" s="8">
        <f t="shared" si="3"/>
        <v>48</v>
      </c>
      <c r="J15" s="8">
        <f t="shared" si="4"/>
        <v>48</v>
      </c>
      <c r="L15" s="8">
        <f t="shared" si="5"/>
        <v>48</v>
      </c>
      <c r="N15" s="8">
        <f t="shared" ref="N15" si="8">N4*16</f>
        <v>0</v>
      </c>
      <c r="Q15" s="20" t="s">
        <v>97</v>
      </c>
      <c r="R15" s="45" t="s">
        <v>85</v>
      </c>
      <c r="S15" s="15">
        <f>S13+S14</f>
        <v>2288</v>
      </c>
      <c r="T15" s="49">
        <f t="shared" si="6"/>
        <v>1906.6666666666667</v>
      </c>
      <c r="U15" s="53">
        <f t="shared" si="7"/>
        <v>0.59336099585062241</v>
      </c>
      <c r="V15" s="52"/>
      <c r="W15" s="20"/>
    </row>
    <row r="16" spans="1:25" ht="12.75" customHeight="1" x14ac:dyDescent="0.2">
      <c r="B16" s="8">
        <f t="shared" si="0"/>
        <v>48</v>
      </c>
      <c r="D16" s="8">
        <f t="shared" si="1"/>
        <v>48</v>
      </c>
      <c r="F16" s="8">
        <f t="shared" si="2"/>
        <v>32</v>
      </c>
      <c r="H16" s="8">
        <f t="shared" si="3"/>
        <v>48</v>
      </c>
      <c r="J16" s="8">
        <f t="shared" si="4"/>
        <v>48</v>
      </c>
      <c r="L16" s="8">
        <f t="shared" si="5"/>
        <v>48</v>
      </c>
      <c r="N16" s="8">
        <f>N5*16</f>
        <v>0</v>
      </c>
      <c r="Q16" s="20" t="s">
        <v>95</v>
      </c>
      <c r="R16" s="45" t="s">
        <v>87</v>
      </c>
      <c r="S16" s="15">
        <f>16*(H2+L2+N2+D8+F8+H8+J8+J7+L7)</f>
        <v>656</v>
      </c>
      <c r="T16" s="49">
        <f t="shared" si="6"/>
        <v>546.66666666666674</v>
      </c>
      <c r="U16" s="53">
        <f t="shared" si="7"/>
        <v>0.17012448132780084</v>
      </c>
    </row>
    <row r="17" spans="2:23" ht="12.75" customHeight="1" x14ac:dyDescent="0.2">
      <c r="B17" s="8">
        <f t="shared" si="0"/>
        <v>48</v>
      </c>
      <c r="D17" s="8">
        <f t="shared" si="1"/>
        <v>48</v>
      </c>
      <c r="F17" s="8">
        <f t="shared" si="2"/>
        <v>48</v>
      </c>
      <c r="H17" s="8">
        <f t="shared" si="3"/>
        <v>48</v>
      </c>
      <c r="J17" s="8">
        <f t="shared" si="4"/>
        <v>48</v>
      </c>
      <c r="L17" s="8">
        <f t="shared" si="5"/>
        <v>48</v>
      </c>
      <c r="N17" s="8">
        <f t="shared" ref="N17" si="9">N6*16</f>
        <v>0</v>
      </c>
      <c r="Q17" s="20" t="s">
        <v>98</v>
      </c>
      <c r="R17" s="45" t="s">
        <v>84</v>
      </c>
      <c r="S17" s="15">
        <v>320</v>
      </c>
      <c r="T17" s="49">
        <f t="shared" si="6"/>
        <v>266.66666666666669</v>
      </c>
      <c r="U17" s="53">
        <f t="shared" si="7"/>
        <v>8.2987551867219914E-2</v>
      </c>
    </row>
    <row r="18" spans="2:23" ht="12.75" customHeight="1" x14ac:dyDescent="0.2">
      <c r="B18" s="8">
        <f>B7*16</f>
        <v>48</v>
      </c>
      <c r="D18" s="8">
        <f>D7*16</f>
        <v>48</v>
      </c>
      <c r="F18" s="8">
        <f>F7*16</f>
        <v>32</v>
      </c>
      <c r="H18" s="8">
        <f>H7*16</f>
        <v>48</v>
      </c>
      <c r="J18" s="8">
        <f>J7*16</f>
        <v>48</v>
      </c>
      <c r="L18" s="8">
        <f>L7*16</f>
        <v>48</v>
      </c>
      <c r="N18" s="8">
        <f>N7*16</f>
        <v>48</v>
      </c>
      <c r="Q18" s="20" t="s">
        <v>99</v>
      </c>
      <c r="R18" s="45" t="s">
        <v>88</v>
      </c>
      <c r="S18" s="15">
        <f>N8+P8</f>
        <v>360</v>
      </c>
      <c r="T18" s="49">
        <f t="shared" si="6"/>
        <v>300</v>
      </c>
      <c r="U18" s="53">
        <f t="shared" si="7"/>
        <v>9.3360995850622408E-2</v>
      </c>
      <c r="V18" s="18"/>
      <c r="W18" s="30"/>
    </row>
    <row r="19" spans="2:23" ht="12.75" customHeight="1" x14ac:dyDescent="0.2">
      <c r="B19" s="8">
        <f>B8*16</f>
        <v>0</v>
      </c>
      <c r="D19" s="8">
        <f>D8*16</f>
        <v>32</v>
      </c>
      <c r="F19" s="8">
        <f>F8*16</f>
        <v>48</v>
      </c>
      <c r="H19" s="8">
        <f>H8*16</f>
        <v>48</v>
      </c>
      <c r="J19" s="8">
        <f>J8*16</f>
        <v>48</v>
      </c>
      <c r="L19" s="8">
        <f>L8*16</f>
        <v>48</v>
      </c>
      <c r="Q19" s="20" t="s">
        <v>100</v>
      </c>
      <c r="R19" s="14" t="s">
        <v>92</v>
      </c>
      <c r="S19" s="20">
        <v>488</v>
      </c>
      <c r="T19" s="54">
        <f>5/6*S19</f>
        <v>406.66666666666669</v>
      </c>
      <c r="U19" s="53">
        <f>T19/$T$21</f>
        <v>0.12655601659751037</v>
      </c>
      <c r="V19" s="18"/>
      <c r="W19" s="30"/>
    </row>
    <row r="20" spans="2:23" ht="12.75" customHeight="1" x14ac:dyDescent="0.2">
      <c r="B20" s="8">
        <f>B9*16</f>
        <v>0</v>
      </c>
      <c r="D20" s="8">
        <f>D9*16</f>
        <v>0</v>
      </c>
      <c r="F20" s="8">
        <f>F9*16</f>
        <v>0</v>
      </c>
      <c r="H20" s="8">
        <f>H9*16</f>
        <v>0</v>
      </c>
      <c r="J20" s="8">
        <f>J9*16</f>
        <v>0</v>
      </c>
      <c r="L20" s="8">
        <f>L9*16</f>
        <v>0</v>
      </c>
      <c r="Q20" s="20" t="s">
        <v>101</v>
      </c>
      <c r="R20" s="14" t="s">
        <v>93</v>
      </c>
      <c r="S20" s="20">
        <v>400</v>
      </c>
      <c r="T20" s="54">
        <f>5/6*S20</f>
        <v>333.33333333333337</v>
      </c>
      <c r="U20" s="53">
        <f t="shared" si="7"/>
        <v>0.1037344398340249</v>
      </c>
      <c r="V20" s="18"/>
      <c r="W20" s="30"/>
    </row>
    <row r="21" spans="2:23" ht="12.75" customHeight="1" x14ac:dyDescent="0.2">
      <c r="B21" s="4"/>
      <c r="D21" s="4"/>
      <c r="F21" s="4"/>
      <c r="H21" s="4"/>
      <c r="J21" s="4"/>
      <c r="L21" s="4"/>
      <c r="N21" s="4"/>
      <c r="P21" s="4"/>
      <c r="R21" s="48" t="s">
        <v>91</v>
      </c>
      <c r="S21" s="48">
        <f>S15+S18+S17+S19+S20</f>
        <v>3856</v>
      </c>
      <c r="T21" s="50">
        <f>T15+T18+T17+T19+T20</f>
        <v>3213.3333333333335</v>
      </c>
      <c r="U21" s="53">
        <f t="shared" si="7"/>
        <v>1</v>
      </c>
      <c r="V21" s="18"/>
      <c r="W21" s="30"/>
    </row>
    <row r="22" spans="2:23" ht="12.75" customHeight="1" x14ac:dyDescent="0.2">
      <c r="B22" s="8">
        <f>SUM(B13:B19)</f>
        <v>304</v>
      </c>
      <c r="D22" s="8">
        <f>SUM(D13:D19)</f>
        <v>304</v>
      </c>
      <c r="F22" s="8">
        <f>SUM(F13:F19)</f>
        <v>320</v>
      </c>
      <c r="H22" s="8">
        <f>SUM(H13:H19)</f>
        <v>384</v>
      </c>
      <c r="J22" s="8">
        <f>SUM(J13:J19)</f>
        <v>352</v>
      </c>
      <c r="L22" s="8">
        <f>SUM(L13:L19)</f>
        <v>384</v>
      </c>
      <c r="N22" s="8">
        <f>SUM(N13:N19)</f>
        <v>240</v>
      </c>
      <c r="T22" s="51"/>
      <c r="V22" s="18"/>
      <c r="W22" s="30"/>
    </row>
    <row r="23" spans="2:23" ht="12.75" customHeight="1" x14ac:dyDescent="0.2">
      <c r="B23" s="4"/>
      <c r="R23" s="44" t="s">
        <v>53</v>
      </c>
      <c r="S23" s="44"/>
    </row>
    <row r="24" spans="2:23" ht="12.75" customHeight="1" x14ac:dyDescent="0.2">
      <c r="R24" s="15">
        <v>20</v>
      </c>
      <c r="S24" s="14" t="s">
        <v>22</v>
      </c>
    </row>
    <row r="25" spans="2:23" ht="12.75" customHeight="1" x14ac:dyDescent="0.2">
      <c r="J25" s="4"/>
      <c r="R25" s="15">
        <f>5*5</f>
        <v>25</v>
      </c>
      <c r="S25" s="14" t="s">
        <v>23</v>
      </c>
    </row>
    <row r="26" spans="2:23" x14ac:dyDescent="0.2">
      <c r="J26" s="4"/>
    </row>
    <row r="27" spans="2:23" x14ac:dyDescent="0.2">
      <c r="K27" s="4">
        <f>159+212</f>
        <v>371</v>
      </c>
    </row>
    <row r="29" spans="2:23" x14ac:dyDescent="0.2">
      <c r="U29" s="4">
        <f>5/6*1968</f>
        <v>1640</v>
      </c>
    </row>
    <row r="32" spans="2:23" x14ac:dyDescent="0.2">
      <c r="S32" s="4">
        <f>1968+384+360</f>
        <v>2712</v>
      </c>
    </row>
  </sheetData>
  <mergeCells count="5">
    <mergeCell ref="M2:M6"/>
    <mergeCell ref="N2:N6"/>
    <mergeCell ref="O2:O7"/>
    <mergeCell ref="P2:P7"/>
    <mergeCell ref="R23:S23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3A55-5901-4564-9A74-FF8423343B51}">
  <dimension ref="A1:Y32"/>
  <sheetViews>
    <sheetView zoomScaleNormal="100" workbookViewId="0">
      <selection activeCell="I24" sqref="I24"/>
    </sheetView>
  </sheetViews>
  <sheetFormatPr defaultRowHeight="12.75" x14ac:dyDescent="0.2"/>
  <cols>
    <col min="1" max="1" width="18.5703125" style="4" customWidth="1"/>
    <col min="2" max="2" width="5.7109375" style="8" customWidth="1"/>
    <col min="3" max="3" width="18.5703125" style="4" customWidth="1"/>
    <col min="4" max="4" width="5.7109375" style="8" customWidth="1"/>
    <col min="5" max="5" width="18.5703125" style="4" customWidth="1"/>
    <col min="6" max="6" width="5.7109375" style="8" customWidth="1"/>
    <col min="7" max="7" width="18.5703125" style="4" customWidth="1"/>
    <col min="8" max="8" width="5.7109375" style="8" customWidth="1"/>
    <col min="9" max="9" width="18.5703125" style="4" customWidth="1"/>
    <col min="10" max="10" width="5.7109375" style="8" customWidth="1"/>
    <col min="11" max="11" width="18.5703125" style="4" customWidth="1"/>
    <col min="12" max="12" width="5.7109375" style="8" customWidth="1"/>
    <col min="13" max="13" width="18.5703125" style="4" customWidth="1"/>
    <col min="14" max="14" width="5.7109375" style="8" customWidth="1"/>
    <col min="15" max="15" width="18.5703125" style="4" customWidth="1"/>
    <col min="16" max="16" width="5.7109375" style="8" customWidth="1"/>
    <col min="17" max="17" width="2.5703125" style="4" customWidth="1"/>
    <col min="18" max="18" width="36.28515625" style="4" bestFit="1" customWidth="1"/>
    <col min="19" max="19" width="15" style="4" bestFit="1" customWidth="1"/>
    <col min="20" max="20" width="17.42578125" style="4" bestFit="1" customWidth="1"/>
    <col min="21" max="21" width="10.42578125" style="4" bestFit="1" customWidth="1"/>
    <col min="22" max="22" width="20.28515625" style="4" bestFit="1" customWidth="1"/>
    <col min="23" max="23" width="2.28515625" style="4" bestFit="1" customWidth="1"/>
    <col min="24" max="16384" width="9.140625" style="4"/>
  </cols>
  <sheetData>
    <row r="1" spans="1:25" x14ac:dyDescent="0.2">
      <c r="A1" s="1" t="s">
        <v>0</v>
      </c>
      <c r="B1" s="2" t="s">
        <v>1</v>
      </c>
      <c r="C1" s="3" t="s">
        <v>2</v>
      </c>
      <c r="D1" s="2" t="s">
        <v>1</v>
      </c>
      <c r="E1" s="1" t="s">
        <v>3</v>
      </c>
      <c r="F1" s="2" t="s">
        <v>1</v>
      </c>
      <c r="G1" s="1" t="s">
        <v>4</v>
      </c>
      <c r="H1" s="2" t="s">
        <v>1</v>
      </c>
      <c r="I1" s="1" t="s">
        <v>5</v>
      </c>
      <c r="J1" s="2" t="s">
        <v>1</v>
      </c>
      <c r="K1" s="1" t="s">
        <v>6</v>
      </c>
      <c r="L1" s="2" t="s">
        <v>1</v>
      </c>
      <c r="M1" s="1" t="s">
        <v>7</v>
      </c>
      <c r="N1" s="2" t="s">
        <v>1</v>
      </c>
      <c r="O1" s="1" t="s">
        <v>8</v>
      </c>
      <c r="P1" s="2" t="s">
        <v>1</v>
      </c>
    </row>
    <row r="2" spans="1:25" ht="25.5" x14ac:dyDescent="0.2">
      <c r="A2" s="16" t="s">
        <v>9</v>
      </c>
      <c r="B2" s="5">
        <v>4</v>
      </c>
      <c r="C2" s="55" t="s">
        <v>15</v>
      </c>
      <c r="D2" s="56">
        <v>3</v>
      </c>
      <c r="E2" s="55" t="s">
        <v>19</v>
      </c>
      <c r="F2" s="57">
        <v>3</v>
      </c>
      <c r="G2" s="55" t="s">
        <v>56</v>
      </c>
      <c r="H2" s="56">
        <v>6</v>
      </c>
      <c r="I2" s="55" t="s">
        <v>44</v>
      </c>
      <c r="J2" s="56">
        <v>3</v>
      </c>
      <c r="K2" s="58" t="s">
        <v>57</v>
      </c>
      <c r="L2" s="56">
        <v>6</v>
      </c>
      <c r="M2" s="59" t="s">
        <v>82</v>
      </c>
      <c r="N2" s="60">
        <v>12</v>
      </c>
      <c r="O2" s="61" t="s">
        <v>84</v>
      </c>
      <c r="P2" s="61"/>
    </row>
    <row r="3" spans="1:25" ht="38.25" x14ac:dyDescent="0.2">
      <c r="A3" s="16" t="s">
        <v>10</v>
      </c>
      <c r="B3" s="5">
        <v>3</v>
      </c>
      <c r="C3" s="55" t="s">
        <v>30</v>
      </c>
      <c r="D3" s="56">
        <v>3</v>
      </c>
      <c r="E3" s="55" t="s">
        <v>54</v>
      </c>
      <c r="F3" s="57">
        <v>3</v>
      </c>
      <c r="G3" s="55" t="s">
        <v>55</v>
      </c>
      <c r="H3" s="62">
        <v>3</v>
      </c>
      <c r="I3" s="55" t="s">
        <v>28</v>
      </c>
      <c r="J3" s="56">
        <v>4</v>
      </c>
      <c r="K3" s="55" t="s">
        <v>18</v>
      </c>
      <c r="L3" s="56">
        <v>3</v>
      </c>
      <c r="M3" s="59"/>
      <c r="N3" s="60"/>
      <c r="O3" s="63"/>
      <c r="P3" s="63"/>
      <c r="S3" s="18"/>
      <c r="T3" s="30"/>
      <c r="U3" s="18"/>
      <c r="V3" s="30"/>
    </row>
    <row r="4" spans="1:25" ht="25.5" x14ac:dyDescent="0.2">
      <c r="A4" s="16" t="s">
        <v>11</v>
      </c>
      <c r="B4" s="5">
        <v>3</v>
      </c>
      <c r="C4" s="55" t="s">
        <v>39</v>
      </c>
      <c r="D4" s="57">
        <v>2</v>
      </c>
      <c r="E4" s="64" t="s">
        <v>20</v>
      </c>
      <c r="F4" s="65">
        <v>4</v>
      </c>
      <c r="G4" s="64" t="s">
        <v>34</v>
      </c>
      <c r="H4" s="66">
        <v>3</v>
      </c>
      <c r="I4" s="64" t="s">
        <v>25</v>
      </c>
      <c r="J4" s="56">
        <v>3</v>
      </c>
      <c r="K4" s="55" t="s">
        <v>48</v>
      </c>
      <c r="L4" s="56">
        <v>3</v>
      </c>
      <c r="M4" s="59"/>
      <c r="N4" s="60"/>
      <c r="O4" s="63"/>
      <c r="P4" s="63"/>
      <c r="U4" s="18"/>
      <c r="V4" s="30"/>
      <c r="X4" s="18"/>
      <c r="Y4" s="30"/>
    </row>
    <row r="5" spans="1:25" ht="38.25" x14ac:dyDescent="0.2">
      <c r="A5" s="17" t="s">
        <v>12</v>
      </c>
      <c r="B5" s="9">
        <v>3</v>
      </c>
      <c r="C5" s="64" t="s">
        <v>17</v>
      </c>
      <c r="D5" s="67">
        <v>3</v>
      </c>
      <c r="E5" s="55" t="s">
        <v>41</v>
      </c>
      <c r="F5" s="56">
        <v>2</v>
      </c>
      <c r="G5" s="55" t="s">
        <v>43</v>
      </c>
      <c r="H5" s="56">
        <v>3</v>
      </c>
      <c r="I5" s="55" t="s">
        <v>49</v>
      </c>
      <c r="J5" s="56">
        <v>3</v>
      </c>
      <c r="K5" s="55" t="s">
        <v>47</v>
      </c>
      <c r="L5" s="56">
        <v>3</v>
      </c>
      <c r="M5" s="59"/>
      <c r="N5" s="60"/>
      <c r="O5" s="63"/>
      <c r="P5" s="63"/>
      <c r="S5" s="18">
        <f>160/16</f>
        <v>10</v>
      </c>
      <c r="T5" s="30"/>
    </row>
    <row r="6" spans="1:25" ht="38.25" x14ac:dyDescent="0.2">
      <c r="A6" s="16" t="s">
        <v>13</v>
      </c>
      <c r="B6" s="5">
        <v>3</v>
      </c>
      <c r="C6" s="55" t="s">
        <v>16</v>
      </c>
      <c r="D6" s="56">
        <v>3</v>
      </c>
      <c r="E6" s="55" t="s">
        <v>21</v>
      </c>
      <c r="F6" s="56">
        <v>3</v>
      </c>
      <c r="G6" s="55" t="s">
        <v>33</v>
      </c>
      <c r="H6" s="62">
        <v>3</v>
      </c>
      <c r="I6" s="55" t="s">
        <v>26</v>
      </c>
      <c r="J6" s="56">
        <v>3</v>
      </c>
      <c r="K6" s="55" t="s">
        <v>27</v>
      </c>
      <c r="L6" s="56">
        <v>3</v>
      </c>
      <c r="M6" s="59"/>
      <c r="N6" s="60"/>
      <c r="O6" s="63"/>
      <c r="P6" s="63"/>
      <c r="S6" s="18">
        <f>64*2</f>
        <v>128</v>
      </c>
      <c r="T6" s="30"/>
    </row>
    <row r="7" spans="1:25" ht="38.25" x14ac:dyDescent="0.2">
      <c r="A7" s="16" t="s">
        <v>29</v>
      </c>
      <c r="B7" s="5">
        <v>3</v>
      </c>
      <c r="C7" s="55" t="s">
        <v>45</v>
      </c>
      <c r="D7" s="67">
        <v>3</v>
      </c>
      <c r="E7" s="55" t="s">
        <v>40</v>
      </c>
      <c r="F7" s="56">
        <v>2</v>
      </c>
      <c r="G7" s="55" t="s">
        <v>35</v>
      </c>
      <c r="H7" s="56">
        <v>3</v>
      </c>
      <c r="I7" s="55" t="s">
        <v>37</v>
      </c>
      <c r="J7" s="56">
        <v>3</v>
      </c>
      <c r="K7" s="55" t="s">
        <v>36</v>
      </c>
      <c r="L7" s="56">
        <v>3</v>
      </c>
      <c r="M7" s="55" t="s">
        <v>80</v>
      </c>
      <c r="N7" s="56">
        <v>3</v>
      </c>
      <c r="O7" s="68"/>
      <c r="P7" s="68"/>
      <c r="S7" s="18">
        <f>360</f>
        <v>360</v>
      </c>
      <c r="T7" s="30">
        <f>S7+S6</f>
        <v>488</v>
      </c>
    </row>
    <row r="8" spans="1:25" ht="38.25" x14ac:dyDescent="0.2">
      <c r="A8" s="16"/>
      <c r="B8" s="5"/>
      <c r="C8" s="55" t="s">
        <v>38</v>
      </c>
      <c r="D8" s="56">
        <v>2</v>
      </c>
      <c r="E8" s="55" t="s">
        <v>32</v>
      </c>
      <c r="F8" s="56">
        <v>3</v>
      </c>
      <c r="G8" s="55" t="s">
        <v>24</v>
      </c>
      <c r="H8" s="56">
        <v>3</v>
      </c>
      <c r="I8" s="55" t="s">
        <v>42</v>
      </c>
      <c r="J8" s="56">
        <v>3</v>
      </c>
      <c r="K8" s="55" t="s">
        <v>46</v>
      </c>
      <c r="L8" s="56">
        <v>3</v>
      </c>
      <c r="M8" s="56" t="s">
        <v>81</v>
      </c>
      <c r="N8" s="56">
        <v>180</v>
      </c>
      <c r="O8" s="56" t="s">
        <v>83</v>
      </c>
      <c r="P8" s="56">
        <v>180</v>
      </c>
      <c r="S8" s="18"/>
      <c r="T8" s="30"/>
    </row>
    <row r="9" spans="1:25" x14ac:dyDescent="0.2">
      <c r="A9" s="25"/>
      <c r="B9" s="26"/>
      <c r="C9" s="25"/>
      <c r="D9" s="26"/>
      <c r="E9" s="25"/>
      <c r="F9" s="26"/>
      <c r="G9" s="25"/>
      <c r="H9" s="26"/>
      <c r="I9" s="25"/>
      <c r="J9" s="26"/>
      <c r="K9" s="25"/>
      <c r="L9" s="26"/>
      <c r="M9" s="25"/>
      <c r="N9" s="26"/>
      <c r="O9" s="25"/>
      <c r="P9" s="26"/>
    </row>
    <row r="10" spans="1:25" x14ac:dyDescent="0.2">
      <c r="A10" s="27"/>
      <c r="B10" s="28"/>
      <c r="C10" s="27"/>
      <c r="D10" s="28"/>
      <c r="E10" s="27"/>
      <c r="F10" s="28"/>
      <c r="G10" s="27"/>
      <c r="H10" s="28"/>
      <c r="I10" s="27"/>
      <c r="J10" s="28"/>
      <c r="K10" s="27"/>
      <c r="L10" s="28"/>
      <c r="M10" s="27"/>
      <c r="N10" s="28"/>
      <c r="O10" s="27"/>
      <c r="P10" s="28"/>
    </row>
    <row r="11" spans="1:25" ht="12.75" customHeight="1" x14ac:dyDescent="0.2">
      <c r="A11" s="14" t="s">
        <v>14</v>
      </c>
      <c r="B11" s="15">
        <f>SUM(B2:B7)</f>
        <v>19</v>
      </c>
      <c r="C11" s="14" t="s">
        <v>14</v>
      </c>
      <c r="D11" s="15">
        <f>SUM(D2:D8)</f>
        <v>19</v>
      </c>
      <c r="E11" s="14" t="s">
        <v>14</v>
      </c>
      <c r="F11" s="15">
        <f>SUM(F2:F8)</f>
        <v>20</v>
      </c>
      <c r="G11" s="14" t="s">
        <v>14</v>
      </c>
      <c r="H11" s="15">
        <f>SUM(H2:H9)</f>
        <v>24</v>
      </c>
      <c r="I11" s="14" t="s">
        <v>14</v>
      </c>
      <c r="J11" s="15">
        <f>SUM(J2:J9)</f>
        <v>22</v>
      </c>
      <c r="K11" s="14" t="s">
        <v>14</v>
      </c>
      <c r="L11" s="15">
        <f>SUM(L2:L9)</f>
        <v>24</v>
      </c>
      <c r="M11" s="14" t="s">
        <v>14</v>
      </c>
      <c r="N11" s="15">
        <f>N7+N2</f>
        <v>15</v>
      </c>
      <c r="O11" s="14" t="s">
        <v>14</v>
      </c>
      <c r="P11" s="15"/>
    </row>
    <row r="12" spans="1:25" ht="12.75" customHeight="1" x14ac:dyDescent="0.2">
      <c r="R12" s="46" t="s">
        <v>86</v>
      </c>
      <c r="S12" s="47" t="s">
        <v>89</v>
      </c>
      <c r="T12" s="47" t="s">
        <v>90</v>
      </c>
      <c r="U12" s="47" t="s">
        <v>104</v>
      </c>
    </row>
    <row r="13" spans="1:25" ht="12.75" customHeight="1" x14ac:dyDescent="0.2">
      <c r="B13" s="8">
        <f>B2*16</f>
        <v>64</v>
      </c>
      <c r="D13" s="8">
        <f>D2*16</f>
        <v>48</v>
      </c>
      <c r="F13" s="8">
        <f>F2*16</f>
        <v>48</v>
      </c>
      <c r="H13" s="8">
        <f>H2*16</f>
        <v>96</v>
      </c>
      <c r="J13" s="8">
        <f>J2*16</f>
        <v>48</v>
      </c>
      <c r="L13" s="8">
        <f>L2*16</f>
        <v>96</v>
      </c>
      <c r="N13" s="8">
        <f>N2*16</f>
        <v>192</v>
      </c>
      <c r="Q13" s="20" t="s">
        <v>94</v>
      </c>
      <c r="R13" s="45" t="s">
        <v>51</v>
      </c>
      <c r="S13" s="15">
        <f>B22+D22+F22+H22+J22+L22</f>
        <v>2048</v>
      </c>
      <c r="T13" s="49">
        <f>5/6*S13</f>
        <v>1706.6666666666667</v>
      </c>
      <c r="U13" s="53">
        <f>T13/$T$21</f>
        <v>0.53112033195020747</v>
      </c>
      <c r="V13" s="4" t="s">
        <v>58</v>
      </c>
    </row>
    <row r="14" spans="1:25" ht="12.75" customHeight="1" x14ac:dyDescent="0.2">
      <c r="B14" s="8">
        <f t="shared" ref="B14:B17" si="0">B3*16</f>
        <v>48</v>
      </c>
      <c r="D14" s="8">
        <f t="shared" ref="D14:D17" si="1">D3*16</f>
        <v>48</v>
      </c>
      <c r="F14" s="8">
        <f t="shared" ref="F14:F17" si="2">F3*16</f>
        <v>48</v>
      </c>
      <c r="H14" s="8">
        <f t="shared" ref="H14:H17" si="3">H3*16</f>
        <v>48</v>
      </c>
      <c r="J14" s="8">
        <f t="shared" ref="J14:J17" si="4">J3*16</f>
        <v>64</v>
      </c>
      <c r="L14" s="8">
        <f t="shared" ref="L14:L17" si="5">L3*16</f>
        <v>48</v>
      </c>
      <c r="N14" s="8">
        <f>N3*16</f>
        <v>0</v>
      </c>
      <c r="Q14" s="20" t="s">
        <v>96</v>
      </c>
      <c r="R14" s="45" t="s">
        <v>52</v>
      </c>
      <c r="S14" s="15">
        <f>N22</f>
        <v>240</v>
      </c>
      <c r="T14" s="49">
        <f t="shared" ref="T14:T18" si="6">5/6*S14</f>
        <v>200</v>
      </c>
      <c r="U14" s="53">
        <f t="shared" ref="U14:U21" si="7">T14/$T$21</f>
        <v>6.2240663900414932E-2</v>
      </c>
      <c r="V14" s="7" t="s">
        <v>38</v>
      </c>
      <c r="W14" s="5">
        <v>2</v>
      </c>
    </row>
    <row r="15" spans="1:25" ht="12.75" customHeight="1" x14ac:dyDescent="0.2">
      <c r="B15" s="8">
        <f t="shared" si="0"/>
        <v>48</v>
      </c>
      <c r="D15" s="8">
        <f t="shared" si="1"/>
        <v>32</v>
      </c>
      <c r="F15" s="8">
        <f t="shared" si="2"/>
        <v>64</v>
      </c>
      <c r="H15" s="8">
        <f t="shared" si="3"/>
        <v>48</v>
      </c>
      <c r="J15" s="8">
        <f t="shared" si="4"/>
        <v>48</v>
      </c>
      <c r="L15" s="8">
        <f t="shared" si="5"/>
        <v>48</v>
      </c>
      <c r="N15" s="8">
        <f t="shared" ref="N15" si="8">N4*16</f>
        <v>0</v>
      </c>
      <c r="Q15" s="20" t="s">
        <v>97</v>
      </c>
      <c r="R15" s="45" t="s">
        <v>85</v>
      </c>
      <c r="S15" s="15">
        <f>S13+S14</f>
        <v>2288</v>
      </c>
      <c r="T15" s="49">
        <f t="shared" si="6"/>
        <v>1906.6666666666667</v>
      </c>
      <c r="U15" s="53">
        <f t="shared" si="7"/>
        <v>0.59336099585062241</v>
      </c>
      <c r="V15" s="52"/>
      <c r="W15" s="20"/>
    </row>
    <row r="16" spans="1:25" ht="12.75" customHeight="1" x14ac:dyDescent="0.2">
      <c r="B16" s="8">
        <f t="shared" si="0"/>
        <v>48</v>
      </c>
      <c r="D16" s="8">
        <f t="shared" si="1"/>
        <v>48</v>
      </c>
      <c r="F16" s="8">
        <f t="shared" si="2"/>
        <v>32</v>
      </c>
      <c r="H16" s="8">
        <f t="shared" si="3"/>
        <v>48</v>
      </c>
      <c r="J16" s="8">
        <f t="shared" si="4"/>
        <v>48</v>
      </c>
      <c r="L16" s="8">
        <f t="shared" si="5"/>
        <v>48</v>
      </c>
      <c r="N16" s="8">
        <f>N5*16</f>
        <v>0</v>
      </c>
      <c r="Q16" s="20" t="s">
        <v>95</v>
      </c>
      <c r="R16" s="45" t="s">
        <v>87</v>
      </c>
      <c r="S16" s="15">
        <f>16*(H2+L2+N2+D8+F8+H8+J8+J7+L7)</f>
        <v>656</v>
      </c>
      <c r="T16" s="49">
        <f t="shared" si="6"/>
        <v>546.66666666666674</v>
      </c>
      <c r="U16" s="53">
        <f t="shared" si="7"/>
        <v>0.17012448132780084</v>
      </c>
    </row>
    <row r="17" spans="2:23" ht="12.75" customHeight="1" x14ac:dyDescent="0.2">
      <c r="B17" s="8">
        <f t="shared" si="0"/>
        <v>48</v>
      </c>
      <c r="D17" s="8">
        <f t="shared" si="1"/>
        <v>48</v>
      </c>
      <c r="F17" s="8">
        <f t="shared" si="2"/>
        <v>48</v>
      </c>
      <c r="H17" s="8">
        <f t="shared" si="3"/>
        <v>48</v>
      </c>
      <c r="J17" s="8">
        <f t="shared" si="4"/>
        <v>48</v>
      </c>
      <c r="L17" s="8">
        <f t="shared" si="5"/>
        <v>48</v>
      </c>
      <c r="N17" s="8">
        <f t="shared" ref="N17" si="9">N6*16</f>
        <v>0</v>
      </c>
      <c r="Q17" s="20" t="s">
        <v>98</v>
      </c>
      <c r="R17" s="45" t="s">
        <v>84</v>
      </c>
      <c r="S17" s="15">
        <v>320</v>
      </c>
      <c r="T17" s="49">
        <f t="shared" si="6"/>
        <v>266.66666666666669</v>
      </c>
      <c r="U17" s="53">
        <f t="shared" si="7"/>
        <v>8.2987551867219914E-2</v>
      </c>
    </row>
    <row r="18" spans="2:23" ht="12.75" customHeight="1" x14ac:dyDescent="0.2">
      <c r="B18" s="8">
        <f>B7*16</f>
        <v>48</v>
      </c>
      <c r="D18" s="8">
        <f>D7*16</f>
        <v>48</v>
      </c>
      <c r="F18" s="8">
        <f>F7*16</f>
        <v>32</v>
      </c>
      <c r="H18" s="8">
        <f>H7*16</f>
        <v>48</v>
      </c>
      <c r="J18" s="8">
        <f>J7*16</f>
        <v>48</v>
      </c>
      <c r="L18" s="8">
        <f>L7*16</f>
        <v>48</v>
      </c>
      <c r="N18" s="8">
        <f>N7*16</f>
        <v>48</v>
      </c>
      <c r="Q18" s="20" t="s">
        <v>99</v>
      </c>
      <c r="R18" s="45" t="s">
        <v>88</v>
      </c>
      <c r="S18" s="15">
        <f>N8+P8</f>
        <v>360</v>
      </c>
      <c r="T18" s="49">
        <f t="shared" si="6"/>
        <v>300</v>
      </c>
      <c r="U18" s="53">
        <f t="shared" si="7"/>
        <v>9.3360995850622408E-2</v>
      </c>
      <c r="V18" s="18"/>
      <c r="W18" s="30"/>
    </row>
    <row r="19" spans="2:23" ht="12.75" customHeight="1" x14ac:dyDescent="0.2">
      <c r="B19" s="8">
        <f>B8*16</f>
        <v>0</v>
      </c>
      <c r="D19" s="8">
        <f>D8*16</f>
        <v>32</v>
      </c>
      <c r="F19" s="8">
        <f>F8*16</f>
        <v>48</v>
      </c>
      <c r="H19" s="8">
        <f>H8*16</f>
        <v>48</v>
      </c>
      <c r="J19" s="8">
        <f>J8*16</f>
        <v>48</v>
      </c>
      <c r="L19" s="8">
        <f>L8*16</f>
        <v>48</v>
      </c>
      <c r="Q19" s="20" t="s">
        <v>100</v>
      </c>
      <c r="R19" s="14" t="s">
        <v>92</v>
      </c>
      <c r="S19" s="20">
        <v>488</v>
      </c>
      <c r="T19" s="54">
        <f>5/6*S19</f>
        <v>406.66666666666669</v>
      </c>
      <c r="U19" s="53">
        <f>T19/$T$21</f>
        <v>0.12655601659751037</v>
      </c>
      <c r="V19" s="18"/>
      <c r="W19" s="30"/>
    </row>
    <row r="20" spans="2:23" ht="12.75" customHeight="1" x14ac:dyDescent="0.2">
      <c r="B20" s="8">
        <f>B9*16</f>
        <v>0</v>
      </c>
      <c r="D20" s="8">
        <f>D9*16</f>
        <v>0</v>
      </c>
      <c r="F20" s="8">
        <f>F9*16</f>
        <v>0</v>
      </c>
      <c r="H20" s="8">
        <f>H9*16</f>
        <v>0</v>
      </c>
      <c r="J20" s="8">
        <f>J9*16</f>
        <v>0</v>
      </c>
      <c r="L20" s="8">
        <f>L9*16</f>
        <v>0</v>
      </c>
      <c r="Q20" s="20" t="s">
        <v>101</v>
      </c>
      <c r="R20" s="14" t="s">
        <v>93</v>
      </c>
      <c r="S20" s="20">
        <v>400</v>
      </c>
      <c r="T20" s="54">
        <f>5/6*S20</f>
        <v>333.33333333333337</v>
      </c>
      <c r="U20" s="53">
        <f t="shared" si="7"/>
        <v>0.1037344398340249</v>
      </c>
      <c r="V20" s="18"/>
      <c r="W20" s="30"/>
    </row>
    <row r="21" spans="2:23" ht="12.75" customHeight="1" x14ac:dyDescent="0.2">
      <c r="B21" s="4"/>
      <c r="D21" s="4"/>
      <c r="F21" s="4"/>
      <c r="H21" s="4"/>
      <c r="J21" s="4"/>
      <c r="L21" s="4"/>
      <c r="N21" s="4"/>
      <c r="P21" s="4"/>
      <c r="R21" s="48" t="s">
        <v>91</v>
      </c>
      <c r="S21" s="48">
        <f>S15+S18+S17+S19+S20</f>
        <v>3856</v>
      </c>
      <c r="T21" s="50">
        <f>T15+T18+T17+T19+T20</f>
        <v>3213.3333333333335</v>
      </c>
      <c r="U21" s="53">
        <f t="shared" si="7"/>
        <v>1</v>
      </c>
      <c r="V21" s="18"/>
      <c r="W21" s="30"/>
    </row>
    <row r="22" spans="2:23" ht="12.75" customHeight="1" x14ac:dyDescent="0.2">
      <c r="B22" s="8">
        <f>SUM(B13:B19)</f>
        <v>304</v>
      </c>
      <c r="D22" s="8">
        <f>SUM(D13:D19)</f>
        <v>304</v>
      </c>
      <c r="F22" s="8">
        <f>SUM(F13:F19)</f>
        <v>320</v>
      </c>
      <c r="H22" s="8">
        <f>SUM(H13:H19)</f>
        <v>384</v>
      </c>
      <c r="J22" s="8">
        <f>SUM(J13:J19)</f>
        <v>352</v>
      </c>
      <c r="L22" s="8">
        <f>SUM(L13:L19)</f>
        <v>384</v>
      </c>
      <c r="N22" s="8">
        <f>SUM(N13:N19)</f>
        <v>240</v>
      </c>
      <c r="T22" s="51"/>
      <c r="V22" s="18"/>
      <c r="W22" s="30"/>
    </row>
    <row r="23" spans="2:23" ht="12.75" customHeight="1" x14ac:dyDescent="0.2">
      <c r="B23" s="4"/>
      <c r="R23" s="44" t="s">
        <v>53</v>
      </c>
      <c r="S23" s="44"/>
    </row>
    <row r="24" spans="2:23" ht="12.75" customHeight="1" x14ac:dyDescent="0.2">
      <c r="R24" s="15">
        <v>20</v>
      </c>
      <c r="S24" s="14" t="s">
        <v>22</v>
      </c>
    </row>
    <row r="25" spans="2:23" ht="12.75" customHeight="1" x14ac:dyDescent="0.2">
      <c r="J25" s="4"/>
      <c r="R25" s="15">
        <f>5*5</f>
        <v>25</v>
      </c>
      <c r="S25" s="14" t="s">
        <v>23</v>
      </c>
    </row>
    <row r="26" spans="2:23" x14ac:dyDescent="0.2">
      <c r="J26" s="4"/>
    </row>
    <row r="27" spans="2:23" x14ac:dyDescent="0.2">
      <c r="K27" s="4">
        <f>159+212</f>
        <v>371</v>
      </c>
    </row>
    <row r="29" spans="2:23" x14ac:dyDescent="0.2">
      <c r="U29" s="4">
        <f>5/6*1968</f>
        <v>1640</v>
      </c>
    </row>
    <row r="32" spans="2:23" x14ac:dyDescent="0.2">
      <c r="S32" s="4">
        <f>1968+384+360</f>
        <v>2712</v>
      </c>
    </row>
  </sheetData>
  <mergeCells count="5">
    <mergeCell ref="M2:M6"/>
    <mergeCell ref="N2:N6"/>
    <mergeCell ref="O2:O7"/>
    <mergeCell ref="P2:P7"/>
    <mergeCell ref="R23:S23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Grade Curricular Original</vt:lpstr>
      <vt:lpstr>Alteração Proposta</vt:lpstr>
      <vt:lpstr>Optativas das Trilhas</vt:lpstr>
      <vt:lpstr>Disciplinas da Trilha</vt:lpstr>
      <vt:lpstr>Disciplinas Aplicadas</vt:lpstr>
      <vt:lpstr>Disciplinas Técnicas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Valerio</dc:creator>
  <cp:lastModifiedBy>Victor Valerio</cp:lastModifiedBy>
  <dcterms:created xsi:type="dcterms:W3CDTF">2025-11-22T00:22:26Z</dcterms:created>
  <dcterms:modified xsi:type="dcterms:W3CDTF">2025-11-22T14:18:33Z</dcterms:modified>
</cp:coreProperties>
</file>
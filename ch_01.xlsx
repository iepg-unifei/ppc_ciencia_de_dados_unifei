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\Documents\dev\relatorios\ppc_ciencia_de_dados_unifei\"/>
    </mc:Choice>
  </mc:AlternateContent>
  <xr:revisionPtr revIDLastSave="0" documentId="13_ncr:1_{33F28122-2870-4817-B489-35D7C9CF17E4}" xr6:coauthVersionLast="47" xr6:coauthVersionMax="47" xr10:uidLastSave="{00000000-0000-0000-0000-000000000000}"/>
  <bookViews>
    <workbookView xWindow="-3570" yWindow="8002" windowWidth="21795" windowHeight="12975" xr2:uid="{449215E2-5059-4847-B8DB-C48B4239A68A}"/>
  </bookViews>
  <sheets>
    <sheet name="ch_total" sheetId="1" r:id="rId1"/>
    <sheet name="legislacao" sheetId="2" r:id="rId2"/>
    <sheet name="ch_semestre" sheetId="3" r:id="rId3"/>
    <sheet name="saude" sheetId="4" r:id="rId4"/>
    <sheet name="esporte" sheetId="5" r:id="rId5"/>
    <sheet name="gestao" sheetId="6" r:id="rId6"/>
    <sheet name="optativa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D8" i="1" s="1"/>
  <c r="C8" i="1" s="1"/>
  <c r="C3" i="1"/>
  <c r="C4" i="1"/>
  <c r="C5" i="1"/>
  <c r="C6" i="1"/>
  <c r="C7" i="1"/>
  <c r="D3" i="1"/>
  <c r="D4" i="1"/>
  <c r="D5" i="1"/>
  <c r="D6" i="1"/>
  <c r="D7" i="1"/>
  <c r="D2" i="1"/>
  <c r="C2" i="1" s="1"/>
  <c r="B2" i="1"/>
  <c r="B3" i="1"/>
</calcChain>
</file>

<file path=xl/sharedStrings.xml><?xml version="1.0" encoding="utf-8"?>
<sst xmlns="http://schemas.openxmlformats.org/spreadsheetml/2006/main" count="134" uniqueCount="97">
  <si>
    <t>Elemento</t>
  </si>
  <si>
    <t>Total</t>
  </si>
  <si>
    <t>-</t>
  </si>
  <si>
    <t>Conteúdo</t>
  </si>
  <si>
    <t>Disciplina</t>
  </si>
  <si>
    <t>Libras</t>
  </si>
  <si>
    <t>LET007 Libras - Língua Brasileira de Sinais (48 h)</t>
  </si>
  <si>
    <t>Direitos Humanos</t>
  </si>
  <si>
    <t>Nova - Ciência de dados e sociedade (32 h)</t>
  </si>
  <si>
    <t>Educação Ambiental</t>
  </si>
  <si>
    <t>Educação para as Relações Étnico-raciais</t>
  </si>
  <si>
    <t xml:space="preserve">Semestre 1 </t>
  </si>
  <si>
    <t>CH</t>
  </si>
  <si>
    <t>Semestre 2</t>
  </si>
  <si>
    <t>Semestre 3</t>
  </si>
  <si>
    <t>Semestre 4</t>
  </si>
  <si>
    <t>Semestre 5</t>
  </si>
  <si>
    <t>Semestre 6</t>
  </si>
  <si>
    <t>Semestre 7</t>
  </si>
  <si>
    <t>Semestre 8</t>
  </si>
  <si>
    <t>Estatística Multivariada</t>
  </si>
  <si>
    <t>Disciplinas Optativas (Trilhas do Curso)</t>
  </si>
  <si>
    <t>Estágio Supervisionado</t>
  </si>
  <si>
    <t>Análise Exploratória de Dados</t>
  </si>
  <si>
    <t>Álgebra Linear Computacional</t>
  </si>
  <si>
    <t>Otimização 1</t>
  </si>
  <si>
    <t>Automação Low-Code e Integração de Dados</t>
  </si>
  <si>
    <t>Ética e Governança de Dados</t>
  </si>
  <si>
    <t>Probabilidade e Estatística</t>
  </si>
  <si>
    <t>Inferência Estatística</t>
  </si>
  <si>
    <t>Machine Learning 1</t>
  </si>
  <si>
    <t>Machine Learning 2</t>
  </si>
  <si>
    <t>Machine Learning 3</t>
  </si>
  <si>
    <t>Metaheuristicas</t>
  </si>
  <si>
    <t>Introdução a Ciência de Dados</t>
  </si>
  <si>
    <t>Estrutura de Dados e Algoritmos</t>
  </si>
  <si>
    <t>Engenharia de Dados</t>
  </si>
  <si>
    <t>Análise e Processamento de Sinais 1</t>
  </si>
  <si>
    <t>Análise e Processamento de Sinais 2</t>
  </si>
  <si>
    <t>Programação 1</t>
  </si>
  <si>
    <t>Programação 2</t>
  </si>
  <si>
    <t xml:space="preserve">Engenharia de Software </t>
  </si>
  <si>
    <t>Computação em Núvem</t>
  </si>
  <si>
    <t>Big Data e Processamento Distribuído</t>
  </si>
  <si>
    <t>Agentes de IA</t>
  </si>
  <si>
    <t>Engenharia da Transformação Digital</t>
  </si>
  <si>
    <t>Banco de Dados 1</t>
  </si>
  <si>
    <t>Banco de Dados 2</t>
  </si>
  <si>
    <t>Engenharia Econômica</t>
  </si>
  <si>
    <t>Criação de Negócio</t>
  </si>
  <si>
    <t>Gestão Ágil de Projetos</t>
  </si>
  <si>
    <t>Planejamento e Controle da Produção</t>
  </si>
  <si>
    <t>Engenharia da Qualidade</t>
  </si>
  <si>
    <t>Visão Computacional</t>
  </si>
  <si>
    <t xml:space="preserve">TCC 1 </t>
  </si>
  <si>
    <t xml:space="preserve">TCC 2 </t>
  </si>
  <si>
    <t>Disciplinas Optativas (Gerais)</t>
  </si>
  <si>
    <t>Projeto Integrador 1</t>
  </si>
  <si>
    <t>Otimização 2</t>
  </si>
  <si>
    <t>Projeto Integrador 2</t>
  </si>
  <si>
    <t>CH (Hora.Aula)</t>
  </si>
  <si>
    <t>Disciplinas Obrigatórias</t>
  </si>
  <si>
    <t xml:space="preserve">Disciplonas Optativas </t>
  </si>
  <si>
    <t>Trabalho de Conclusão de Curso</t>
  </si>
  <si>
    <t>Atividade de Extensão</t>
  </si>
  <si>
    <t>Atividade Complementar</t>
  </si>
  <si>
    <t>DISCIPLINAS</t>
  </si>
  <si>
    <t>Data Analytics Aplicado à Saúde</t>
  </si>
  <si>
    <t>Machine Learning e Padrões em Saúde</t>
  </si>
  <si>
    <t>Análise de Imagens Médicas com IA</t>
  </si>
  <si>
    <t>Tópicos Especiais: Fontes de Dados da Saúde</t>
  </si>
  <si>
    <t>Data Analytics Aplicado ao Esporte</t>
  </si>
  <si>
    <t>Machine Learning para Precificação de Atletas</t>
  </si>
  <si>
    <t>Machine Learning para Carga de Treino e Prevenção de Lesões</t>
  </si>
  <si>
    <t xml:space="preserve">Scouting com Machine Learning </t>
  </si>
  <si>
    <t>Tópicos Especiais: Fontes de Dados no Esporte</t>
  </si>
  <si>
    <t>Tópicos Especiais: Visualização de Dados no Esporte</t>
  </si>
  <si>
    <t>Data Analytics Aplicado à Gestão</t>
  </si>
  <si>
    <t>Ciência de Dados para Gestão de Portfólios</t>
  </si>
  <si>
    <t xml:space="preserve">Ciência de Dados para Análise de Conjuntura Macroeconômica </t>
  </si>
  <si>
    <t>Tópicos Especiais: Machine Learning para Marketing</t>
  </si>
  <si>
    <t>Tópicos Especiais: Fontes de Dados Econômicos</t>
  </si>
  <si>
    <t>Tópicos Especiais: Econometria</t>
  </si>
  <si>
    <t>Data Analytics Aplicado à Energia</t>
  </si>
  <si>
    <t>Todas as disciplinas dos cursos de engenharia de produção e administração</t>
  </si>
  <si>
    <t>Computação Quântica para Machine Learning (Quantum AI)</t>
  </si>
  <si>
    <t>Edge AI e Sistemas Embarcados Inteligentes</t>
  </si>
  <si>
    <t>Quantificação de Incertezas em modelos de IA</t>
  </si>
  <si>
    <t>IA Simbólica e Sistemas Baseados em Conhecimento</t>
  </si>
  <si>
    <t>Aprendizado por Reforço Profundo Avançado</t>
  </si>
  <si>
    <t>CH (Hora.Relógio)</t>
  </si>
  <si>
    <t>Cálculo A</t>
  </si>
  <si>
    <t>Cálculo B</t>
  </si>
  <si>
    <t>Cálculo C</t>
  </si>
  <si>
    <t>Visualização de Dados</t>
  </si>
  <si>
    <t>Industria 4.0: Conceitos e Fundamentos</t>
  </si>
  <si>
    <t>Engenharia da Qualidade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</si>
</sst>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b/>
      <sz val="12"/>
      <color theme="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2" borderId="0" xfId="0" applyFont="1" applyFill="1" applyAlignment="1">
      <alignment horizontal="center"/>
    </xf>
    <xf numFmtId="0" fontId="1" fillId="0" borderId="0" xfId="0" applyFont="1"/>
    <xf numFmtId="0" fontId="4" fillId="2" borderId="2" xfId="0" applyFont="1" applyFill="1" applyBorder="1" applyAlignment="1">
      <alignment horizontal="center"/>
    </xf>
    <xf numFmtId="0" fontId="1" fillId="0" borderId="2" xfId="0" applyFont="1" applyBorder="1"/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quotePrefix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2" xfId="0" quotePrefix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5C6EF-A189-46BF-83CE-105DCC7C97EF}">
  <dimension ref="A1:D8"/>
  <sheetViews>
    <sheetView tabSelected="1" zoomScale="120" zoomScaleNormal="120" workbookViewId="0">
      <selection activeCell="B9" sqref="B9"/>
    </sheetView>
  </sheetViews>
  <sheetFormatPr defaultRowHeight="15" x14ac:dyDescent="0.2"/>
  <cols>
    <col min="1" max="1" width="36.5703125" style="6" bestFit="1" customWidth="1"/>
    <col min="2" max="3" width="40.5703125" style="6" customWidth="1"/>
    <col min="4" max="4" width="15.5703125" style="6" bestFit="1" customWidth="1"/>
    <col min="5" max="16384" width="9.140625" style="6"/>
  </cols>
  <sheetData>
    <row r="1" spans="1:4" ht="15.75" x14ac:dyDescent="0.25">
      <c r="A1" s="5" t="s">
        <v>0</v>
      </c>
      <c r="B1" s="5" t="s">
        <v>60</v>
      </c>
      <c r="C1" s="5" t="s">
        <v>90</v>
      </c>
    </row>
    <row r="2" spans="1:4" x14ac:dyDescent="0.2">
      <c r="A2" s="1" t="s">
        <v>61</v>
      </c>
      <c r="B2" s="2">
        <f>(ch_semestre!B2+ch_semestre!B3+ch_semestre!B4+ch_semestre!B5+ch_semestre!B6+ch_semestre!B7+ch_semestre!D2+ch_semestre!D3+ch_semestre!D4+ch_semestre!D5+ch_semestre!D6+ch_semestre!D7+ch_semestre!D8+ch_semestre!F2+ch_semestre!F3+ch_semestre!F4+ch_semestre!F5+ch_semestre!F6+ch_semestre!F7+ch_semestre!F8+ch_semestre!H2+ch_semestre!H3+ch_semestre!H4+ch_semestre!H5+ch_semestre!H6+ch_semestre!H7+ch_semestre!H8+ch_semestre!J2+ch_semestre!J3+ch_semestre!J4+ch_semestre!J5+ch_semestre!J6+ch_semestre!J7+ch_semestre!J8+ch_semestre!L8+ch_semestre!L7+ch_semestre!L4+ch_semestre!L3+ch_semestre!L2+ch_semestre!N3+ch_semestre!N4)*16</f>
        <v>2032</v>
      </c>
      <c r="C2" s="2">
        <f>ROUND(D2,0)</f>
        <v>1693</v>
      </c>
      <c r="D2" s="6">
        <f>5/6*B2</f>
        <v>1693.3333333333335</v>
      </c>
    </row>
    <row r="3" spans="1:4" x14ac:dyDescent="0.2">
      <c r="A3" s="1" t="s">
        <v>62</v>
      </c>
      <c r="B3" s="2">
        <f>(ch_semestre!L5+ch_semestre!N5+ch_semestre!L6+ch_semestre!N6+ch_semestre!N7)*16</f>
        <v>240</v>
      </c>
      <c r="C3" s="2">
        <f t="shared" ref="C3:C8" si="0">ROUND(D3,0)</f>
        <v>200</v>
      </c>
      <c r="D3" s="6">
        <f t="shared" ref="D3:D8" si="1">5/6*B3</f>
        <v>200</v>
      </c>
    </row>
    <row r="4" spans="1:4" x14ac:dyDescent="0.2">
      <c r="A4" s="1" t="s">
        <v>22</v>
      </c>
      <c r="B4" s="2">
        <v>350</v>
      </c>
      <c r="C4" s="2">
        <f t="shared" si="0"/>
        <v>292</v>
      </c>
      <c r="D4" s="6">
        <f t="shared" si="1"/>
        <v>291.66666666666669</v>
      </c>
    </row>
    <row r="5" spans="1:4" x14ac:dyDescent="0.2">
      <c r="A5" s="1" t="s">
        <v>63</v>
      </c>
      <c r="B5" s="2">
        <v>360</v>
      </c>
      <c r="C5" s="2">
        <f t="shared" si="0"/>
        <v>300</v>
      </c>
      <c r="D5" s="6">
        <f t="shared" si="1"/>
        <v>300</v>
      </c>
    </row>
    <row r="6" spans="1:4" x14ac:dyDescent="0.2">
      <c r="A6" s="1" t="s">
        <v>64</v>
      </c>
      <c r="B6" s="2">
        <v>488</v>
      </c>
      <c r="C6" s="2">
        <f t="shared" si="0"/>
        <v>407</v>
      </c>
      <c r="D6" s="6">
        <f t="shared" si="1"/>
        <v>406.66666666666669</v>
      </c>
    </row>
    <row r="7" spans="1:4" x14ac:dyDescent="0.2">
      <c r="A7" s="1" t="s">
        <v>65</v>
      </c>
      <c r="B7" s="2">
        <v>400</v>
      </c>
      <c r="C7" s="2">
        <f t="shared" si="0"/>
        <v>333</v>
      </c>
      <c r="D7" s="6">
        <f t="shared" si="1"/>
        <v>333.33333333333337</v>
      </c>
    </row>
    <row r="8" spans="1:4" x14ac:dyDescent="0.2">
      <c r="A8" s="1" t="s">
        <v>1</v>
      </c>
      <c r="B8" s="2">
        <f>SUM(B2:B7)</f>
        <v>3870</v>
      </c>
      <c r="C8" s="2">
        <f>ROUND(D8,0)</f>
        <v>3225</v>
      </c>
      <c r="D8" s="6">
        <f>5/6*B8</f>
        <v>3225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9C711-4342-4DFF-B796-69165275EDFF}">
  <dimension ref="A1:B5"/>
  <sheetViews>
    <sheetView workbookViewId="0">
      <selection activeCell="A5" sqref="A5"/>
    </sheetView>
  </sheetViews>
  <sheetFormatPr defaultRowHeight="15" x14ac:dyDescent="0.2"/>
  <cols>
    <col min="1" max="1" width="45" style="6" bestFit="1" customWidth="1"/>
    <col min="2" max="2" width="52.42578125" style="6" bestFit="1" customWidth="1"/>
    <col min="3" max="16384" width="9.140625" style="6"/>
  </cols>
  <sheetData>
    <row r="1" spans="1:2" ht="15.75" x14ac:dyDescent="0.25">
      <c r="A1" s="7" t="s">
        <v>3</v>
      </c>
      <c r="B1" s="7" t="s">
        <v>4</v>
      </c>
    </row>
    <row r="2" spans="1:2" x14ac:dyDescent="0.2">
      <c r="A2" s="8" t="s">
        <v>5</v>
      </c>
      <c r="B2" s="8" t="s">
        <v>6</v>
      </c>
    </row>
    <row r="3" spans="1:2" x14ac:dyDescent="0.2">
      <c r="A3" s="8" t="s">
        <v>7</v>
      </c>
      <c r="B3" s="8" t="s">
        <v>8</v>
      </c>
    </row>
    <row r="4" spans="1:2" x14ac:dyDescent="0.2">
      <c r="A4" s="8" t="s">
        <v>9</v>
      </c>
      <c r="B4" s="8" t="s">
        <v>8</v>
      </c>
    </row>
    <row r="5" spans="1:2" x14ac:dyDescent="0.2">
      <c r="A5" s="8" t="s">
        <v>10</v>
      </c>
      <c r="B5" s="8" t="s">
        <v>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38A55-2A6A-4AA7-ADB1-0340B6F3E254}">
  <dimension ref="A1:P10"/>
  <sheetViews>
    <sheetView topLeftCell="K1" zoomScale="90" zoomScaleNormal="90" workbookViewId="0">
      <selection activeCell="K8" sqref="K8"/>
    </sheetView>
  </sheetViews>
  <sheetFormatPr defaultRowHeight="14.25" x14ac:dyDescent="0.2"/>
  <cols>
    <col min="1" max="1" width="19.28515625" style="4" customWidth="1"/>
    <col min="2" max="2" width="4.28515625" style="4" customWidth="1"/>
    <col min="3" max="3" width="19.28515625" style="4" customWidth="1"/>
    <col min="4" max="4" width="4.28515625" style="4" customWidth="1"/>
    <col min="5" max="5" width="19.28515625" style="4" customWidth="1"/>
    <col min="6" max="6" width="4.28515625" style="4" customWidth="1"/>
    <col min="7" max="7" width="19.28515625" style="4" customWidth="1"/>
    <col min="8" max="8" width="4.28515625" style="4" customWidth="1"/>
    <col min="9" max="9" width="19.28515625" style="4" customWidth="1"/>
    <col min="10" max="10" width="4.28515625" style="4" customWidth="1"/>
    <col min="11" max="11" width="19.28515625" style="4" customWidth="1"/>
    <col min="12" max="12" width="4.28515625" style="4" customWidth="1"/>
    <col min="13" max="13" width="19.28515625" style="4" customWidth="1"/>
    <col min="14" max="14" width="4.28515625" style="4" customWidth="1"/>
    <col min="15" max="15" width="19.28515625" style="4" customWidth="1"/>
    <col min="16" max="16" width="4.28515625" style="4" customWidth="1"/>
    <col min="17" max="16384" width="9.140625" style="4"/>
  </cols>
  <sheetData>
    <row r="1" spans="1:16" x14ac:dyDescent="0.2">
      <c r="A1" s="3" t="s">
        <v>11</v>
      </c>
      <c r="B1" s="9" t="s">
        <v>12</v>
      </c>
      <c r="C1" s="10" t="s">
        <v>13</v>
      </c>
      <c r="D1" s="9" t="s">
        <v>12</v>
      </c>
      <c r="E1" s="3" t="s">
        <v>14</v>
      </c>
      <c r="F1" s="9" t="s">
        <v>12</v>
      </c>
      <c r="G1" s="3" t="s">
        <v>15</v>
      </c>
      <c r="H1" s="9" t="s">
        <v>12</v>
      </c>
      <c r="I1" s="3" t="s">
        <v>16</v>
      </c>
      <c r="J1" s="9" t="s">
        <v>12</v>
      </c>
      <c r="K1" s="3" t="s">
        <v>17</v>
      </c>
      <c r="L1" s="9" t="s">
        <v>12</v>
      </c>
      <c r="M1" s="3" t="s">
        <v>18</v>
      </c>
      <c r="N1" s="9" t="s">
        <v>12</v>
      </c>
      <c r="O1" s="3" t="s">
        <v>19</v>
      </c>
      <c r="P1" s="9" t="s">
        <v>12</v>
      </c>
    </row>
    <row r="2" spans="1:16" ht="25.5" x14ac:dyDescent="0.2">
      <c r="A2" s="11" t="s">
        <v>91</v>
      </c>
      <c r="B2" s="11">
        <v>4</v>
      </c>
      <c r="C2" s="11" t="s">
        <v>92</v>
      </c>
      <c r="D2" s="11">
        <v>4</v>
      </c>
      <c r="E2" s="11" t="s">
        <v>93</v>
      </c>
      <c r="F2" s="12">
        <v>4</v>
      </c>
      <c r="G2" s="11" t="s">
        <v>57</v>
      </c>
      <c r="H2" s="11">
        <v>6</v>
      </c>
      <c r="I2" s="11" t="s">
        <v>20</v>
      </c>
      <c r="J2" s="11">
        <v>3</v>
      </c>
      <c r="K2" s="13" t="s">
        <v>59</v>
      </c>
      <c r="L2" s="11">
        <v>6</v>
      </c>
      <c r="M2" s="11" t="s">
        <v>54</v>
      </c>
      <c r="N2" s="14" t="s">
        <v>2</v>
      </c>
      <c r="O2" s="11" t="s">
        <v>55</v>
      </c>
      <c r="P2" s="14" t="s">
        <v>2</v>
      </c>
    </row>
    <row r="3" spans="1:16" ht="38.25" x14ac:dyDescent="0.2">
      <c r="A3" s="11" t="s">
        <v>23</v>
      </c>
      <c r="B3" s="11">
        <v>3</v>
      </c>
      <c r="C3" s="11" t="s">
        <v>24</v>
      </c>
      <c r="D3" s="11">
        <v>3</v>
      </c>
      <c r="E3" s="11" t="s">
        <v>25</v>
      </c>
      <c r="F3" s="12">
        <v>3</v>
      </c>
      <c r="G3" s="11" t="s">
        <v>58</v>
      </c>
      <c r="H3" s="15">
        <v>3</v>
      </c>
      <c r="I3" s="11" t="s">
        <v>26</v>
      </c>
      <c r="J3" s="11">
        <v>4</v>
      </c>
      <c r="K3" s="11" t="s">
        <v>48</v>
      </c>
      <c r="L3" s="11">
        <v>3</v>
      </c>
      <c r="M3" s="11" t="s">
        <v>49</v>
      </c>
      <c r="N3" s="11">
        <v>3</v>
      </c>
      <c r="O3" s="16" t="s">
        <v>22</v>
      </c>
      <c r="P3" s="14" t="s">
        <v>2</v>
      </c>
    </row>
    <row r="4" spans="1:16" ht="25.5" x14ac:dyDescent="0.2">
      <c r="A4" s="11" t="s">
        <v>28</v>
      </c>
      <c r="B4" s="11">
        <v>3</v>
      </c>
      <c r="C4" s="11" t="s">
        <v>29</v>
      </c>
      <c r="D4" s="12">
        <v>2</v>
      </c>
      <c r="E4" s="16" t="s">
        <v>30</v>
      </c>
      <c r="F4" s="17">
        <v>3</v>
      </c>
      <c r="G4" s="16" t="s">
        <v>31</v>
      </c>
      <c r="H4" s="18">
        <v>3</v>
      </c>
      <c r="I4" s="16" t="s">
        <v>32</v>
      </c>
      <c r="J4" s="11">
        <v>2</v>
      </c>
      <c r="K4" s="11" t="s">
        <v>33</v>
      </c>
      <c r="L4" s="11">
        <v>3</v>
      </c>
      <c r="M4" s="11" t="s">
        <v>44</v>
      </c>
      <c r="N4" s="11">
        <v>3</v>
      </c>
      <c r="O4" s="11" t="s">
        <v>2</v>
      </c>
      <c r="P4" s="11" t="s">
        <v>2</v>
      </c>
    </row>
    <row r="5" spans="1:16" ht="38.25" x14ac:dyDescent="0.2">
      <c r="A5" s="16" t="s">
        <v>34</v>
      </c>
      <c r="B5" s="16">
        <v>3</v>
      </c>
      <c r="C5" s="16" t="s">
        <v>35</v>
      </c>
      <c r="D5" s="16">
        <v>3</v>
      </c>
      <c r="E5" s="11" t="s">
        <v>36</v>
      </c>
      <c r="F5" s="11">
        <v>2</v>
      </c>
      <c r="G5" s="11" t="s">
        <v>37</v>
      </c>
      <c r="H5" s="11">
        <v>3</v>
      </c>
      <c r="I5" s="11" t="s">
        <v>38</v>
      </c>
      <c r="J5" s="11">
        <v>3</v>
      </c>
      <c r="K5" s="11" t="s">
        <v>21</v>
      </c>
      <c r="L5" s="11">
        <v>3</v>
      </c>
      <c r="M5" s="11" t="s">
        <v>21</v>
      </c>
      <c r="N5" s="11">
        <v>3</v>
      </c>
      <c r="O5" s="11" t="s">
        <v>2</v>
      </c>
      <c r="P5" s="11" t="s">
        <v>2</v>
      </c>
    </row>
    <row r="6" spans="1:16" ht="38.25" x14ac:dyDescent="0.2">
      <c r="A6" s="11" t="s">
        <v>39</v>
      </c>
      <c r="B6" s="11">
        <v>3</v>
      </c>
      <c r="C6" s="11" t="s">
        <v>40</v>
      </c>
      <c r="D6" s="11">
        <v>3</v>
      </c>
      <c r="E6" s="11" t="s">
        <v>41</v>
      </c>
      <c r="F6" s="11">
        <v>3</v>
      </c>
      <c r="G6" s="11" t="s">
        <v>42</v>
      </c>
      <c r="H6" s="15">
        <v>3</v>
      </c>
      <c r="I6" s="11" t="s">
        <v>43</v>
      </c>
      <c r="J6" s="11">
        <v>3</v>
      </c>
      <c r="K6" s="11" t="s">
        <v>21</v>
      </c>
      <c r="L6" s="11">
        <v>3</v>
      </c>
      <c r="M6" s="11" t="s">
        <v>21</v>
      </c>
      <c r="N6" s="11">
        <v>3</v>
      </c>
      <c r="O6" s="11" t="s">
        <v>2</v>
      </c>
      <c r="P6" s="11" t="s">
        <v>2</v>
      </c>
    </row>
    <row r="7" spans="1:16" ht="25.5" x14ac:dyDescent="0.2">
      <c r="A7" s="11" t="s">
        <v>45</v>
      </c>
      <c r="B7" s="11">
        <v>3</v>
      </c>
      <c r="C7" s="11" t="s">
        <v>94</v>
      </c>
      <c r="D7" s="16">
        <v>3</v>
      </c>
      <c r="E7" s="11" t="s">
        <v>46</v>
      </c>
      <c r="F7" s="11">
        <v>2</v>
      </c>
      <c r="G7" s="11" t="s">
        <v>47</v>
      </c>
      <c r="H7" s="11">
        <v>3</v>
      </c>
      <c r="I7" s="11" t="s">
        <v>27</v>
      </c>
      <c r="J7" s="11">
        <v>3</v>
      </c>
      <c r="K7" s="11" t="s">
        <v>96</v>
      </c>
      <c r="L7" s="11">
        <v>3</v>
      </c>
      <c r="M7" s="11" t="s">
        <v>56</v>
      </c>
      <c r="N7" s="11">
        <v>3</v>
      </c>
      <c r="O7" s="11" t="s">
        <v>2</v>
      </c>
      <c r="P7" s="11" t="s">
        <v>2</v>
      </c>
    </row>
    <row r="8" spans="1:16" ht="38.25" x14ac:dyDescent="0.2">
      <c r="A8" s="11" t="s">
        <v>2</v>
      </c>
      <c r="B8" s="11" t="s">
        <v>2</v>
      </c>
      <c r="C8" s="11" t="s">
        <v>50</v>
      </c>
      <c r="D8" s="11">
        <v>2</v>
      </c>
      <c r="E8" s="11" t="s">
        <v>51</v>
      </c>
      <c r="F8" s="11">
        <v>3</v>
      </c>
      <c r="G8" s="11" t="s">
        <v>95</v>
      </c>
      <c r="H8" s="11">
        <v>2</v>
      </c>
      <c r="I8" s="11" t="s">
        <v>52</v>
      </c>
      <c r="J8" s="11">
        <v>3</v>
      </c>
      <c r="K8" s="11" t="s">
        <v>53</v>
      </c>
      <c r="L8" s="11">
        <v>3</v>
      </c>
      <c r="M8" s="11" t="s">
        <v>2</v>
      </c>
      <c r="N8" s="11" t="s">
        <v>2</v>
      </c>
      <c r="O8" s="11" t="s">
        <v>2</v>
      </c>
      <c r="P8" s="11" t="s">
        <v>2</v>
      </c>
    </row>
    <row r="10" spans="1:16" x14ac:dyDescent="0.2">
      <c r="E10" s="19"/>
      <c r="I10" s="19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2F36-EBEC-4E6C-B2DE-BAE7A91F1FEF}">
  <dimension ref="A1:B5"/>
  <sheetViews>
    <sheetView workbookViewId="0">
      <selection activeCell="A2" sqref="A2:A5"/>
    </sheetView>
  </sheetViews>
  <sheetFormatPr defaultRowHeight="15" x14ac:dyDescent="0.2"/>
  <cols>
    <col min="1" max="1" width="49.8554687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67</v>
      </c>
      <c r="B2" s="20">
        <v>48</v>
      </c>
    </row>
    <row r="3" spans="1:2" x14ac:dyDescent="0.2">
      <c r="A3" s="8" t="s">
        <v>68</v>
      </c>
      <c r="B3" s="20">
        <v>48</v>
      </c>
    </row>
    <row r="4" spans="1:2" x14ac:dyDescent="0.2">
      <c r="A4" s="8" t="s">
        <v>69</v>
      </c>
      <c r="B4" s="20">
        <v>48</v>
      </c>
    </row>
    <row r="5" spans="1:2" x14ac:dyDescent="0.2">
      <c r="A5" s="8" t="s">
        <v>70</v>
      </c>
      <c r="B5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7E52-860E-4A6A-AD38-8F20A3F3BFD3}">
  <dimension ref="A1:B7"/>
  <sheetViews>
    <sheetView workbookViewId="0">
      <selection activeCell="A2" sqref="A2:A7"/>
    </sheetView>
  </sheetViews>
  <sheetFormatPr defaultRowHeight="15" x14ac:dyDescent="0.2"/>
  <cols>
    <col min="1" max="1" width="67.28515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71</v>
      </c>
      <c r="B2" s="20">
        <v>48</v>
      </c>
    </row>
    <row r="3" spans="1:2" x14ac:dyDescent="0.2">
      <c r="A3" s="8" t="s">
        <v>72</v>
      </c>
      <c r="B3" s="20">
        <v>48</v>
      </c>
    </row>
    <row r="4" spans="1:2" x14ac:dyDescent="0.2">
      <c r="A4" s="8" t="s">
        <v>73</v>
      </c>
      <c r="B4" s="20">
        <v>48</v>
      </c>
    </row>
    <row r="5" spans="1:2" x14ac:dyDescent="0.2">
      <c r="A5" s="8" t="s">
        <v>74</v>
      </c>
      <c r="B5" s="20">
        <v>48</v>
      </c>
    </row>
    <row r="6" spans="1:2" x14ac:dyDescent="0.2">
      <c r="A6" s="8" t="s">
        <v>75</v>
      </c>
      <c r="B6" s="20">
        <v>48</v>
      </c>
    </row>
    <row r="7" spans="1:2" x14ac:dyDescent="0.2">
      <c r="A7" s="8" t="s">
        <v>76</v>
      </c>
      <c r="B7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6A7A-AE2E-4438-B9A3-70B35A9F30FB}">
  <dimension ref="A1:B7"/>
  <sheetViews>
    <sheetView workbookViewId="0">
      <selection activeCell="A2" sqref="A2:A7"/>
    </sheetView>
  </sheetViews>
  <sheetFormatPr defaultRowHeight="15" x14ac:dyDescent="0.2"/>
  <cols>
    <col min="1" max="1" width="67.28515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77</v>
      </c>
      <c r="B2" s="20">
        <v>48</v>
      </c>
    </row>
    <row r="3" spans="1:2" x14ac:dyDescent="0.2">
      <c r="A3" s="8" t="s">
        <v>78</v>
      </c>
      <c r="B3" s="20">
        <v>48</v>
      </c>
    </row>
    <row r="4" spans="1:2" x14ac:dyDescent="0.2">
      <c r="A4" s="8" t="s">
        <v>79</v>
      </c>
      <c r="B4" s="20">
        <v>48</v>
      </c>
    </row>
    <row r="5" spans="1:2" x14ac:dyDescent="0.2">
      <c r="A5" s="8" t="s">
        <v>80</v>
      </c>
      <c r="B5" s="20">
        <v>48</v>
      </c>
    </row>
    <row r="6" spans="1:2" x14ac:dyDescent="0.2">
      <c r="A6" s="8" t="s">
        <v>81</v>
      </c>
      <c r="B6" s="20">
        <v>48</v>
      </c>
    </row>
    <row r="7" spans="1:2" x14ac:dyDescent="0.2">
      <c r="A7" s="8" t="s">
        <v>82</v>
      </c>
      <c r="B7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7CDAF-1597-4E0B-A8E9-C88D1725EF80}">
  <dimension ref="A1:B8"/>
  <sheetViews>
    <sheetView workbookViewId="0">
      <selection activeCell="A23" sqref="A23"/>
    </sheetView>
  </sheetViews>
  <sheetFormatPr defaultRowHeight="15" x14ac:dyDescent="0.2"/>
  <cols>
    <col min="1" max="1" width="80.140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83</v>
      </c>
      <c r="B2" s="20">
        <v>48</v>
      </c>
    </row>
    <row r="3" spans="1:2" x14ac:dyDescent="0.2">
      <c r="A3" s="8" t="s">
        <v>85</v>
      </c>
      <c r="B3" s="20">
        <v>48</v>
      </c>
    </row>
    <row r="4" spans="1:2" x14ac:dyDescent="0.2">
      <c r="A4" s="8" t="s">
        <v>86</v>
      </c>
      <c r="B4" s="20">
        <v>48</v>
      </c>
    </row>
    <row r="5" spans="1:2" x14ac:dyDescent="0.2">
      <c r="A5" s="8" t="s">
        <v>87</v>
      </c>
      <c r="B5" s="20">
        <v>48</v>
      </c>
    </row>
    <row r="6" spans="1:2" x14ac:dyDescent="0.2">
      <c r="A6" s="8" t="s">
        <v>88</v>
      </c>
      <c r="B6" s="20">
        <v>48</v>
      </c>
    </row>
    <row r="7" spans="1:2" x14ac:dyDescent="0.2">
      <c r="A7" s="8" t="s">
        <v>89</v>
      </c>
      <c r="B7" s="20">
        <v>48</v>
      </c>
    </row>
    <row r="8" spans="1:2" x14ac:dyDescent="0.2">
      <c r="A8" s="8" t="s">
        <v>84</v>
      </c>
      <c r="B8" s="21" t="s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ch_total</vt:lpstr>
      <vt:lpstr>legislacao</vt:lpstr>
      <vt:lpstr>ch_semestre</vt:lpstr>
      <vt:lpstr>saude</vt:lpstr>
      <vt:lpstr>esporte</vt:lpstr>
      <vt:lpstr>gestao</vt:lpstr>
      <vt:lpstr>optativas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Valerio</dc:creator>
  <cp:lastModifiedBy>Victor Valerio</cp:lastModifiedBy>
  <dcterms:created xsi:type="dcterms:W3CDTF">2025-11-21T19:44:41Z</dcterms:created>
  <dcterms:modified xsi:type="dcterms:W3CDTF">2025-11-23T22:27:37Z</dcterms:modified>
</cp:coreProperties>
</file>